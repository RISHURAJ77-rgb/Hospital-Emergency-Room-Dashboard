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ml.chartshapes+xml"/>
  <Override PartName="/xl/drawings/drawing4.xml" ContentType="application/vnd.openxmlformats-officedocument.drawing+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drawings/drawing5.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https://d.docs.live.net/6c27deeb10c59d1c/Documents/"/>
    </mc:Choice>
  </mc:AlternateContent>
  <xr:revisionPtr revIDLastSave="13" documentId="8_{067AFF46-4F45-406A-AAFB-4FFD000E53EE}" xr6:coauthVersionLast="47" xr6:coauthVersionMax="47" xr10:uidLastSave="{B8B7D6EC-D0F1-4FAC-A033-5C2A24FD031B}"/>
  <bookViews>
    <workbookView xWindow="5115" yWindow="1095" windowWidth="15375" windowHeight="7785" firstSheet="2" activeTab="3" xr2:uid="{CBB92A63-EF31-4B51-B717-4E07D089DBA7}"/>
  </bookViews>
  <sheets>
    <sheet name="pivot Report" sheetId="2" r:id="rId1"/>
    <sheet name="Average wait time daily trend" sheetId="7" r:id="rId2"/>
    <sheet name="Daily ER No of Patient" sheetId="6" r:id="rId3"/>
    <sheet name="hospital_emergency_dashboard" sheetId="5" r:id="rId4"/>
    <sheet name="satisfaction score daily trend" sheetId="8" r:id="rId5"/>
  </sheets>
  <definedNames>
    <definedName name="Slicer_Date__Month">#N/A</definedName>
    <definedName name="Slicer_Date__Year">#N/A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 cacheId="12" r:id="rId18"/>
  </pivotCaches>
  <extLst>
    <ext xmlns:x14="http://schemas.microsoft.com/office/spreadsheetml/2009/9/main" uri="{876F7934-8845-4945-9796-88D515C7AA90}">
      <x14:pivotCaches>
        <pivotCache cacheId="13"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eet_796ea7c3-0b7b-4249-9056-f6a9191a4363" name="Sheet" connection="Query - Sheet"/>
          <x15:modelTable id="calendar table_33a0b6f3-15e0-45ba-adc0-6aba90e093c9" name="calendar table" connection="Query - calendar table"/>
        </x15:modelTables>
        <x15:modelRelationships>
          <x15:modelRelationship fromTable="Sheet" fromColumn="Patient Admission Date" toTable="calendar table" toColumn="Date"/>
        </x15:modelRelationships>
        <x15:extLst>
          <ext xmlns:x16="http://schemas.microsoft.com/office/spreadsheetml/2014/11/main" uri="{9835A34E-60A6-4A7C-AAB8-D5F71C897F49}">
            <x16:modelTimeGroupings>
              <x16:modelTimeGrouping tableName="calendar 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9" i="2" l="1"/>
  <c r="C49" i="2"/>
  <c r="B48" i="2"/>
  <c r="C48" i="2"/>
  <c r="A48" i="2"/>
  <c r="A49"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D86C130-E90B-454A-A174-AE1A767F9371}" name="Query - calendar table" description="Connection to the 'calendar table' query in the workbook." type="100" refreshedVersion="8" minRefreshableVersion="5">
    <extLst>
      <ext xmlns:x15="http://schemas.microsoft.com/office/spreadsheetml/2010/11/main" uri="{DE250136-89BD-433C-8126-D09CA5730AF9}">
        <x15:connection id="243b43d8-a7f6-4dec-a3b3-94448bb62249"/>
      </ext>
    </extLst>
  </connection>
  <connection id="2" xr16:uid="{27F4D619-7F12-4B25-AA20-F8C798A21E10}" name="Query - Sheet" description="Connection to the 'Sheet' query in the workbook." type="100" refreshedVersion="8" minRefreshableVersion="5">
    <extLst>
      <ext xmlns:x15="http://schemas.microsoft.com/office/spreadsheetml/2010/11/main" uri="{DE250136-89BD-433C-8126-D09CA5730AF9}">
        <x15:connection id="7659c60e-9d8f-4c7f-92aa-0b77e9222779"/>
      </ext>
    </extLst>
  </connection>
  <connection id="3" xr16:uid="{1895B640-7080-4513-97F0-A46EC28DDCB3}"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<sst xmlns="http://schemas.openxmlformats.org/spreadsheetml/2006/main" count="161" uniqueCount="73">
  <si>
    <t>Distinct Count of Patient Id</t>
  </si>
  <si>
    <t>No of Patient</t>
  </si>
  <si>
    <t>Average of Patient Waittime</t>
  </si>
  <si>
    <t>Average of Patient Satisfaction Score</t>
  </si>
  <si>
    <t>Grand Total</t>
  </si>
  <si>
    <t>Row Labels</t>
  </si>
  <si>
    <t>daily trend of no of patient</t>
  </si>
  <si>
    <t>average wait time</t>
  </si>
  <si>
    <t>satisfaction score daily trend</t>
  </si>
  <si>
    <t>Admitted</t>
  </si>
  <si>
    <t>Not Admitted</t>
  </si>
  <si>
    <t>Count of Patient Admission Flag</t>
  </si>
  <si>
    <t>Count of Patient Admission Flag2</t>
  </si>
  <si>
    <t>Admission Status</t>
  </si>
  <si>
    <t>%Status</t>
  </si>
  <si>
    <t xml:space="preserve">  No. of  Patient</t>
  </si>
  <si>
    <t>1-Feb</t>
  </si>
  <si>
    <t>2-Feb</t>
  </si>
  <si>
    <t>3-Feb</t>
  </si>
  <si>
    <t>4-Feb</t>
  </si>
  <si>
    <t>5-Feb</t>
  </si>
  <si>
    <t>6-Feb</t>
  </si>
  <si>
    <t>7-Feb</t>
  </si>
  <si>
    <t>8-Feb</t>
  </si>
  <si>
    <t>9-Feb</t>
  </si>
  <si>
    <t>10-Feb</t>
  </si>
  <si>
    <t>11-Feb</t>
  </si>
  <si>
    <t>12-Feb</t>
  </si>
  <si>
    <t>13-Feb</t>
  </si>
  <si>
    <t>14-Feb</t>
  </si>
  <si>
    <t>15-Feb</t>
  </si>
  <si>
    <t>16-Feb</t>
  </si>
  <si>
    <t>17-Feb</t>
  </si>
  <si>
    <t>18-Feb</t>
  </si>
  <si>
    <t>19-Feb</t>
  </si>
  <si>
    <t>20-Feb</t>
  </si>
  <si>
    <t>21-Feb</t>
  </si>
  <si>
    <t>22-Feb</t>
  </si>
  <si>
    <t>23-Feb</t>
  </si>
  <si>
    <t>24-Feb</t>
  </si>
  <si>
    <t>25-Feb</t>
  </si>
  <si>
    <t>26-Feb</t>
  </si>
  <si>
    <t>27-Feb</t>
  </si>
  <si>
    <t>28-Feb</t>
  </si>
  <si>
    <t>29-Feb</t>
  </si>
  <si>
    <t>0-9</t>
  </si>
  <si>
    <t>10-19</t>
  </si>
  <si>
    <t>20-29</t>
  </si>
  <si>
    <t>30-39</t>
  </si>
  <si>
    <t>40-49</t>
  </si>
  <si>
    <t>50-59</t>
  </si>
  <si>
    <t>60-69</t>
  </si>
  <si>
    <t>70-79</t>
  </si>
  <si>
    <t>Count of Age group</t>
  </si>
  <si>
    <t>age group analysis</t>
  </si>
  <si>
    <t>Ontime</t>
  </si>
  <si>
    <t>Delay</t>
  </si>
  <si>
    <t>Count of patient attain status</t>
  </si>
  <si>
    <t>attended status</t>
  </si>
  <si>
    <t>Female</t>
  </si>
  <si>
    <t>Male</t>
  </si>
  <si>
    <t>Count of Patient Gender</t>
  </si>
  <si>
    <t>Cardiology</t>
  </si>
  <si>
    <t>Gastroenterology</t>
  </si>
  <si>
    <t>General Practice</t>
  </si>
  <si>
    <t>Neurology</t>
  </si>
  <si>
    <t>None</t>
  </si>
  <si>
    <t>Orthopedics</t>
  </si>
  <si>
    <t>Physiotherapy</t>
  </si>
  <si>
    <t>Renal</t>
  </si>
  <si>
    <t>Count of Department Referral</t>
  </si>
  <si>
    <t>2024</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</si>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</sst>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family val="2"/>
      <scheme val="minor"/>
    </font>
    <font>
      <sz val="11"/>
      <color rgb="FF000000"/>
      <name val="Calibri"/>
      <family val="2"/>
      <scheme val="minor"/>
    </font>
  </fonts>
  <fills count="4">
    <fill>
      <patternFill patternType="none"/>
    </fill>
    <fill>
      <patternFill patternType="gray125"/>
    </fill>
    <fill>
      <patternFill patternType="solid">
        <fgColor theme="1" tint="0.34998626667073579"/>
        <bgColor indexed="64"/>
      </patternFill>
    </fill>
    <fill>
      <patternFill patternType="solid">
        <fgColor theme="4" tint="0.39997558519241921"/>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1">
    <xf numFmtId="0" fontId="0" fillId="0" borderId="0" xfId="0"/>
    <xf numFmtId="0" fontId="0" fillId="0" borderId="0" xfId="0" pivotButton="1"/>
    <xf numFmtId="2" fontId="0" fillId="0" borderId="0" xfId="0" applyNumberFormat="1"/>
    <xf numFmtId="0" fontId="0" fillId="2" borderId="0" xfId="0" applyFill="1"/>
    <xf numFmtId="0" fontId="0" fillId="0" borderId="0" xfId="0" applyAlignment="1">
      <alignment horizontal="left"/>
    </xf>
    <xf numFmtId="1" fontId="0" fillId="0" borderId="0" xfId="0" applyNumberFormat="1"/>
    <xf numFmtId="10" fontId="0" fillId="0" borderId="0" xfId="0" applyNumberFormat="1"/>
    <xf numFmtId="9" fontId="0" fillId="0" borderId="0" xfId="1" applyFont="1"/>
    <xf numFmtId="0" fontId="0" fillId="3" borderId="0" xfId="0" applyFill="1"/>
    <xf numFmtId="0" fontId="0" fillId="3" borderId="0" xfId="0" applyFill="1" applyAlignment="1">
      <alignment horizontal="left"/>
    </xf>
    <xf numFmtId="0" fontId="2" fillId="0" borderId="0" xfId="0" applyFont="1"/>
  </cellXfs>
  <cellStyles count="2">
    <cellStyle name="Normal" xfId="0" builtinId="0"/>
    <cellStyle name="Percent" xfId="1" builtinId="5"/>
  </cellStyles>
  <dxfs count="19">
    <dxf>
      <numFmt numFmtId="1" formatCode="0"/>
    </dxf>
    <dxf>
      <numFmt numFmtId="2" formatCode="0.00"/>
    </dxf>
    <dxf>
      <numFmt numFmtId="2" formatCode="0.00"/>
    </dxf>
    <dxf>
      <numFmt numFmtId="14" formatCode="0.00%"/>
    </dxf>
    <dxf>
      <numFmt numFmtId="1" formatCode="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2.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20" Type="http://schemas.microsoft.com/office/2007/relationships/slicerCache" Target="slicerCaches/slicerCache1.xml"/><Relationship Id="rId41" Type="http://schemas.openxmlformats.org/officeDocument/2006/relationships/customXml" Target="../customXml/item14.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non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fld id="{C4F70F3B-852B-455C-9563-D1E869933F2C}" type="CELLRANGE">
                  <a:rPr lang="en-US" sz="800"/>
                  <a:pPr>
                    <a:defRPr sz="600" b="0" i="0" u="none" strike="noStrike" kern="1200" baseline="0">
                      <a:solidFill>
                        <a:schemeClr val="tx1">
                          <a:lumMod val="75000"/>
                          <a:lumOff val="25000"/>
                        </a:schemeClr>
                      </a:solidFill>
                      <a:latin typeface="+mn-lt"/>
                      <a:ea typeface="+mn-ea"/>
                      <a:cs typeface="+mn-cs"/>
                    </a:defRPr>
                  </a:pPr>
                  <a:t>[CELLRANGE]</a:t>
                </a:fld>
                <a:r>
                  <a:rPr lang="en-US" sz="800" baseline="0"/>
                  <a:t>, </a:t>
                </a:r>
              </a:p>
            </c:rich>
          </c:tx>
          <c:spPr>
            <a:noFill/>
            <a:ln>
              <a:noFill/>
            </a:ln>
            <a:effectLst/>
          </c:sp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3"/>
        <c:spPr>
          <a:solidFill>
            <a:schemeClr val="accent1"/>
          </a:solidFill>
          <a:ln>
            <a:noFill/>
          </a:ln>
          <a:effectLst/>
        </c:spPr>
        <c:dLbl>
          <c:idx val="0"/>
          <c:tx>
            <c:rich>
              <a:bodyPr rot="0" spcFirstLastPara="1" vertOverflow="ellipsis" vert="horz" wrap="none" lIns="38100" tIns="19050" rIns="38100" bIns="19050" anchor="ctr" anchorCtr="1">
                <a:noAutofit/>
              </a:bodyPr>
              <a:lstStyle/>
              <a:p>
                <a:pPr>
                  <a:defRPr sz="600" b="0" i="0" u="none" strike="noStrike" kern="1200" baseline="0">
                    <a:solidFill>
                      <a:schemeClr val="tx1">
                        <a:lumMod val="75000"/>
                        <a:lumOff val="25000"/>
                      </a:schemeClr>
                    </a:solidFill>
                    <a:latin typeface="+mn-lt"/>
                    <a:ea typeface="+mn-ea"/>
                    <a:cs typeface="+mn-cs"/>
                  </a:defRPr>
                </a:pPr>
                <a:fld id="{1B3FE6DD-D09F-4FDF-B2EA-488F62AB046E}" type="CELLRANGE">
                  <a:rPr lang="en-US" sz="800"/>
                  <a:pPr>
                    <a:defRPr sz="600" b="0" i="0" u="none" strike="noStrike" kern="1200" baseline="0">
                      <a:solidFill>
                        <a:schemeClr val="tx1">
                          <a:lumMod val="75000"/>
                          <a:lumOff val="25000"/>
                        </a:schemeClr>
                      </a:solidFill>
                      <a:latin typeface="+mn-lt"/>
                      <a:ea typeface="+mn-ea"/>
                      <a:cs typeface="+mn-cs"/>
                    </a:defRPr>
                  </a:pPr>
                  <a:t>[CELLRANGE]</a:t>
                </a:fld>
                <a:r>
                  <a:rPr lang="en-US" sz="800" baseline="0"/>
                  <a:t>, </a:t>
                </a:r>
              </a:p>
            </c:rich>
          </c:tx>
          <c:spPr>
            <a:noFill/>
            <a:ln>
              <a:noFill/>
            </a:ln>
            <a:effectLst/>
          </c:sp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s>
    <c:plotArea>
      <c:layout>
        <c:manualLayout>
          <c:layoutTarget val="inner"/>
          <c:xMode val="edge"/>
          <c:yMode val="edge"/>
          <c:x val="1.6947388182203996E-2"/>
          <c:y val="4.9272099024542396E-2"/>
          <c:w val="0.98305261181779602"/>
          <c:h val="0.95072799250241979"/>
        </c:manualLayout>
      </c:layout>
      <c:barChart>
        <c:barDir val="bar"/>
        <c:grouping val="clustered"/>
        <c:varyColors val="0"/>
        <c:ser>
          <c:idx val="0"/>
          <c:order val="0"/>
          <c:tx>
            <c:strRef>
              <c:f>'pivot Report'!$D$42:$D$43</c:f>
              <c:strCache>
                <c:ptCount val="1"/>
                <c:pt idx="0">
                  <c:v>Count of Patient Admission Flag2</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3-C197-4BD3-9254-6F83D3E3C7C7}"/>
              </c:ext>
            </c:extLst>
          </c:dPt>
          <c:dPt>
            <c:idx val="1"/>
            <c:invertIfNegative val="0"/>
            <c:bubble3D val="0"/>
            <c:extLst>
              <c:ext xmlns:c16="http://schemas.microsoft.com/office/drawing/2014/chart" uri="{C3380CC4-5D6E-409C-BE32-E72D297353CC}">
                <c16:uniqueId val="{00000004-C197-4BD3-9254-6F83D3E3C7C7}"/>
              </c:ext>
            </c:extLst>
          </c:dPt>
          <c:dLbls>
            <c:dLbl>
              <c:idx val="0"/>
              <c:tx>
                <c:rich>
                  <a:bodyPr/>
                  <a:lstStyle/>
                  <a:p>
                    <a:fld id="{C4F70F3B-852B-455C-9563-D1E869933F2C}" type="CELLRANGE">
                      <a:rPr lang="en-US" sz="800"/>
                      <a:pPr/>
                      <a:t>[CELLRANGE]</a:t>
                    </a:fld>
                    <a:r>
                      <a:rPr lang="en-US" sz="800" baseline="0"/>
                      <a:t>, </a:t>
                    </a:r>
                  </a:p>
                </c:rich>
              </c:tx>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C197-4BD3-9254-6F83D3E3C7C7}"/>
                </c:ext>
              </c:extLst>
            </c:dLbl>
            <c:dLbl>
              <c:idx val="1"/>
              <c:tx>
                <c:rich>
                  <a:bodyPr rot="0" spcFirstLastPara="1" vertOverflow="ellipsis" vert="horz" wrap="none" lIns="38100" tIns="19050" rIns="38100" bIns="19050" anchor="ctr" anchorCtr="1">
                    <a:noAutofit/>
                  </a:bodyPr>
                  <a:lstStyle/>
                  <a:p>
                    <a:pPr>
                      <a:defRPr sz="600" b="0" i="0" u="none" strike="noStrike" kern="1200" baseline="0">
                        <a:solidFill>
                          <a:schemeClr val="tx1">
                            <a:lumMod val="75000"/>
                            <a:lumOff val="25000"/>
                          </a:schemeClr>
                        </a:solidFill>
                        <a:latin typeface="+mn-lt"/>
                        <a:ea typeface="+mn-ea"/>
                        <a:cs typeface="+mn-cs"/>
                      </a:defRPr>
                    </a:pPr>
                    <a:fld id="{1B3FE6DD-D09F-4FDF-B2EA-488F62AB046E}" type="CELLRANGE">
                      <a:rPr lang="en-US" sz="800"/>
                      <a:pPr>
                        <a:defRPr sz="600" b="0" i="0" u="none" strike="noStrike" kern="1200" baseline="0">
                          <a:solidFill>
                            <a:schemeClr val="tx1">
                              <a:lumMod val="75000"/>
                              <a:lumOff val="25000"/>
                            </a:schemeClr>
                          </a:solidFill>
                          <a:latin typeface="+mn-lt"/>
                          <a:ea typeface="+mn-ea"/>
                          <a:cs typeface="+mn-cs"/>
                        </a:defRPr>
                      </a:pPr>
                      <a:t>[CELLRANGE]</a:t>
                    </a:fld>
                    <a:r>
                      <a:rPr lang="en-US" sz="800" baseline="0"/>
                      <a:t>, </a:t>
                    </a:r>
                  </a:p>
                </c:rich>
              </c:tx>
              <c:spPr>
                <a:noFill/>
                <a:ln>
                  <a:noFill/>
                </a:ln>
                <a:effectLst/>
              </c:sp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 xmlns:c16="http://schemas.microsoft.com/office/drawing/2014/chart" uri="{C3380CC4-5D6E-409C-BE32-E72D297353CC}">
                  <c16:uniqueId val="{00000004-C197-4BD3-9254-6F83D3E3C7C7}"/>
                </c:ext>
              </c:extLst>
            </c:dLbl>
            <c:spPr>
              <a:noFill/>
              <a:ln>
                <a:noFill/>
              </a:ln>
              <a:effectLst/>
            </c:spPr>
            <c:txPr>
              <a:bodyPr rot="0" spcFirstLastPara="1" vertOverflow="ellipsis" vert="horz" wrap="non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Report'!$D$42:$D$43</c:f>
              <c:strCache>
                <c:ptCount val="2"/>
                <c:pt idx="0">
                  <c:v>Admitted</c:v>
                </c:pt>
                <c:pt idx="1">
                  <c:v>Not Admitted</c:v>
                </c:pt>
              </c:strCache>
            </c:strRef>
          </c:cat>
          <c:val>
            <c:numRef>
              <c:f>'pivot Report'!$D$42:$D$43</c:f>
              <c:numCache>
                <c:formatCode>0</c:formatCode>
                <c:ptCount val="2"/>
                <c:pt idx="0">
                  <c:v>224</c:v>
                </c:pt>
                <c:pt idx="1">
                  <c:v>207</c:v>
                </c:pt>
              </c:numCache>
            </c:numRef>
          </c:val>
          <c:extLst>
            <c:ext xmlns:c15="http://schemas.microsoft.com/office/drawing/2012/chart" uri="{02D57815-91ED-43cb-92C2-25804820EDAC}">
              <c15:datalabelsRange>
                <c15:f>'pivot Report'!$D$42:$D$43</c15:f>
                <c15:dlblRangeCache>
                  <c:ptCount val="2"/>
                  <c:pt idx="0">
                    <c:v>51.97%</c:v>
                  </c:pt>
                  <c:pt idx="1">
                    <c:v>48.03%</c:v>
                  </c:pt>
                </c15:dlblRangeCache>
              </c15:datalabelsRange>
            </c:ext>
            <c:ext xmlns:c16="http://schemas.microsoft.com/office/drawing/2014/chart" uri="{C3380CC4-5D6E-409C-BE32-E72D297353CC}">
              <c16:uniqueId val="{00000000-C197-4BD3-9254-6F83D3E3C7C7}"/>
            </c:ext>
          </c:extLst>
        </c:ser>
        <c:ser>
          <c:idx val="1"/>
          <c:order val="1"/>
          <c:tx>
            <c:strRef>
              <c:f>'pivot Report'!$D$42:$D$43</c:f>
              <c:strCache>
                <c:ptCount val="1"/>
                <c:pt idx="0">
                  <c:v>Count of Patient Admission Flag</c:v>
                </c:pt>
              </c:strCache>
            </c:strRef>
          </c:tx>
          <c:spPr>
            <a:solidFill>
              <a:schemeClr val="accent2"/>
            </a:solidFill>
            <a:ln>
              <a:noFill/>
            </a:ln>
            <a:effectLst/>
          </c:spPr>
          <c:invertIfNegative val="0"/>
          <c:cat>
            <c:strRef>
              <c:f>'pivot Report'!$D$42:$D$43</c:f>
              <c:strCache>
                <c:ptCount val="2"/>
                <c:pt idx="0">
                  <c:v>Admitted</c:v>
                </c:pt>
                <c:pt idx="1">
                  <c:v>Not Admitted</c:v>
                </c:pt>
              </c:strCache>
            </c:strRef>
          </c:cat>
          <c:val>
            <c:numRef>
              <c:f>'pivot Report'!$D$42:$D$43</c:f>
              <c:numCache>
                <c:formatCode>0.00%</c:formatCode>
                <c:ptCount val="2"/>
                <c:pt idx="0">
                  <c:v>0.51972157772621808</c:v>
                </c:pt>
                <c:pt idx="1">
                  <c:v>0.48027842227378192</c:v>
                </c:pt>
              </c:numCache>
            </c:numRef>
          </c:val>
          <c:extLst>
            <c:ext xmlns:c16="http://schemas.microsoft.com/office/drawing/2014/chart" uri="{C3380CC4-5D6E-409C-BE32-E72D297353CC}">
              <c16:uniqueId val="{00000001-C197-4BD3-9254-6F83D3E3C7C7}"/>
            </c:ext>
          </c:extLst>
        </c:ser>
        <c:dLbls>
          <c:showLegendKey val="0"/>
          <c:showVal val="0"/>
          <c:showCatName val="0"/>
          <c:showSerName val="0"/>
          <c:showPercent val="0"/>
          <c:showBubbleSize val="0"/>
        </c:dLbls>
        <c:gapWidth val="0"/>
        <c:overlap val="12"/>
        <c:axId val="1780829808"/>
        <c:axId val="1780821648"/>
      </c:barChart>
      <c:catAx>
        <c:axId val="1780829808"/>
        <c:scaling>
          <c:orientation val="minMax"/>
        </c:scaling>
        <c:delete val="1"/>
        <c:axPos val="l"/>
        <c:numFmt formatCode="General" sourceLinked="1"/>
        <c:majorTickMark val="none"/>
        <c:minorTickMark val="none"/>
        <c:tickLblPos val="nextTo"/>
        <c:crossAx val="1780821648"/>
        <c:crosses val="autoZero"/>
        <c:auto val="1"/>
        <c:lblAlgn val="ctr"/>
        <c:lblOffset val="100"/>
        <c:noMultiLvlLbl val="0"/>
      </c:catAx>
      <c:valAx>
        <c:axId val="1780821648"/>
        <c:scaling>
          <c:orientation val="minMax"/>
        </c:scaling>
        <c:delete val="1"/>
        <c:axPos val="b"/>
        <c:numFmt formatCode="0" sourceLinked="1"/>
        <c:majorTickMark val="none"/>
        <c:minorTickMark val="none"/>
        <c:tickLblPos val="nextTo"/>
        <c:crossAx val="1780829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Report!PivotTable5</c:name>
    <c:fmtId val="1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Report'!$O$7</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Report'!$N$8:$N$37</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'pivot Report'!$O$8:$O$37</c:f>
              <c:numCache>
                <c:formatCode>0.00</c:formatCode>
                <c:ptCount val="29"/>
                <c:pt idx="0">
                  <c:v>35.692307692307693</c:v>
                </c:pt>
                <c:pt idx="1">
                  <c:v>45.4</c:v>
                </c:pt>
                <c:pt idx="2">
                  <c:v>29.375</c:v>
                </c:pt>
                <c:pt idx="3">
                  <c:v>34.583333333333336</c:v>
                </c:pt>
                <c:pt idx="4">
                  <c:v>38.684210526315788</c:v>
                </c:pt>
                <c:pt idx="5">
                  <c:v>34.777777777777779</c:v>
                </c:pt>
                <c:pt idx="6">
                  <c:v>37.307692307692307</c:v>
                </c:pt>
                <c:pt idx="7">
                  <c:v>35.631578947368418</c:v>
                </c:pt>
                <c:pt idx="8">
                  <c:v>36.6</c:v>
                </c:pt>
                <c:pt idx="9">
                  <c:v>39.700000000000003</c:v>
                </c:pt>
                <c:pt idx="10">
                  <c:v>37.4</c:v>
                </c:pt>
                <c:pt idx="11">
                  <c:v>27.76923076923077</c:v>
                </c:pt>
                <c:pt idx="12">
                  <c:v>38.777777777777779</c:v>
                </c:pt>
                <c:pt idx="13">
                  <c:v>31</c:v>
                </c:pt>
                <c:pt idx="14">
                  <c:v>35.928571428571431</c:v>
                </c:pt>
                <c:pt idx="15">
                  <c:v>37.882352941176471</c:v>
                </c:pt>
                <c:pt idx="16">
                  <c:v>40.588235294117645</c:v>
                </c:pt>
                <c:pt idx="17">
                  <c:v>34.533333333333331</c:v>
                </c:pt>
                <c:pt idx="18">
                  <c:v>40.333333333333336</c:v>
                </c:pt>
                <c:pt idx="19">
                  <c:v>35.285714285714285</c:v>
                </c:pt>
                <c:pt idx="20">
                  <c:v>35.5</c:v>
                </c:pt>
                <c:pt idx="21">
                  <c:v>38.5625</c:v>
                </c:pt>
                <c:pt idx="22">
                  <c:v>42.727272727272727</c:v>
                </c:pt>
                <c:pt idx="23">
                  <c:v>37.416666666666664</c:v>
                </c:pt>
                <c:pt idx="24">
                  <c:v>32.450000000000003</c:v>
                </c:pt>
                <c:pt idx="25">
                  <c:v>40.055555555555557</c:v>
                </c:pt>
                <c:pt idx="26">
                  <c:v>31.666666666666668</c:v>
                </c:pt>
                <c:pt idx="27">
                  <c:v>39.769230769230766</c:v>
                </c:pt>
                <c:pt idx="28">
                  <c:v>36.733333333333334</c:v>
                </c:pt>
              </c:numCache>
            </c:numRef>
          </c:val>
          <c:extLst>
            <c:ext xmlns:c16="http://schemas.microsoft.com/office/drawing/2014/chart" uri="{C3380CC4-5D6E-409C-BE32-E72D297353CC}">
              <c16:uniqueId val="{00000002-66EA-4772-940E-797C8BD10C93}"/>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780859568"/>
        <c:axId val="1780856688"/>
      </c:areaChart>
      <c:catAx>
        <c:axId val="1780859568"/>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780856688"/>
        <c:crosses val="autoZero"/>
        <c:auto val="1"/>
        <c:lblAlgn val="ctr"/>
        <c:lblOffset val="100"/>
        <c:noMultiLvlLbl val="0"/>
      </c:catAx>
      <c:valAx>
        <c:axId val="1780856688"/>
        <c:scaling>
          <c:orientation val="minMax"/>
        </c:scaling>
        <c:delete val="1"/>
        <c:axPos val="l"/>
        <c:numFmt formatCode="0.00" sourceLinked="1"/>
        <c:majorTickMark val="out"/>
        <c:minorTickMark val="none"/>
        <c:tickLblPos val="nextTo"/>
        <c:crossAx val="178085956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Report!PivotTable4</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Report'!$H$7</c:f>
              <c:strCache>
                <c:ptCount val="1"/>
                <c:pt idx="0">
                  <c:v>Total</c:v>
                </c:pt>
              </c:strCache>
            </c:strRef>
          </c:tx>
          <c:spPr>
            <a:solidFill>
              <a:schemeClr val="accent1"/>
            </a:solidFill>
            <a:ln w="25400">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Report'!$G$8:$G$37</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'pivot Report'!$H$8:$H$37</c:f>
              <c:numCache>
                <c:formatCode>General</c:formatCode>
                <c:ptCount val="29"/>
                <c:pt idx="0">
                  <c:v>13</c:v>
                </c:pt>
                <c:pt idx="1">
                  <c:v>10</c:v>
                </c:pt>
                <c:pt idx="2">
                  <c:v>8</c:v>
                </c:pt>
                <c:pt idx="3">
                  <c:v>12</c:v>
                </c:pt>
                <c:pt idx="4">
                  <c:v>19</c:v>
                </c:pt>
                <c:pt idx="5">
                  <c:v>9</c:v>
                </c:pt>
                <c:pt idx="6">
                  <c:v>13</c:v>
                </c:pt>
                <c:pt idx="7">
                  <c:v>19</c:v>
                </c:pt>
                <c:pt idx="8">
                  <c:v>10</c:v>
                </c:pt>
                <c:pt idx="9">
                  <c:v>20</c:v>
                </c:pt>
                <c:pt idx="10">
                  <c:v>15</c:v>
                </c:pt>
                <c:pt idx="11">
                  <c:v>13</c:v>
                </c:pt>
                <c:pt idx="12">
                  <c:v>9</c:v>
                </c:pt>
                <c:pt idx="13">
                  <c:v>19</c:v>
                </c:pt>
                <c:pt idx="14">
                  <c:v>14</c:v>
                </c:pt>
                <c:pt idx="15">
                  <c:v>17</c:v>
                </c:pt>
                <c:pt idx="16">
                  <c:v>17</c:v>
                </c:pt>
                <c:pt idx="17">
                  <c:v>15</c:v>
                </c:pt>
                <c:pt idx="18">
                  <c:v>9</c:v>
                </c:pt>
                <c:pt idx="19">
                  <c:v>14</c:v>
                </c:pt>
                <c:pt idx="20">
                  <c:v>22</c:v>
                </c:pt>
                <c:pt idx="21">
                  <c:v>16</c:v>
                </c:pt>
                <c:pt idx="22">
                  <c:v>22</c:v>
                </c:pt>
                <c:pt idx="23">
                  <c:v>12</c:v>
                </c:pt>
                <c:pt idx="24">
                  <c:v>20</c:v>
                </c:pt>
                <c:pt idx="25">
                  <c:v>18</c:v>
                </c:pt>
                <c:pt idx="26">
                  <c:v>18</c:v>
                </c:pt>
                <c:pt idx="27">
                  <c:v>13</c:v>
                </c:pt>
                <c:pt idx="28">
                  <c:v>15</c:v>
                </c:pt>
              </c:numCache>
            </c:numRef>
          </c:val>
          <c:extLst>
            <c:ext xmlns:c16="http://schemas.microsoft.com/office/drawing/2014/chart" uri="{C3380CC4-5D6E-409C-BE32-E72D297353CC}">
              <c16:uniqueId val="{00000002-C506-4002-9896-866DA0566742}"/>
            </c:ext>
          </c:extLst>
        </c:ser>
        <c:dLbls>
          <c:showLegendKey val="0"/>
          <c:showVal val="0"/>
          <c:showCatName val="0"/>
          <c:showSerName val="0"/>
          <c:showPercent val="0"/>
          <c:showBubbleSize val="0"/>
        </c:dLbls>
        <c:axId val="1416283280"/>
        <c:axId val="1416284240"/>
      </c:areaChart>
      <c:catAx>
        <c:axId val="14162832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1416284240"/>
        <c:crosses val="autoZero"/>
        <c:auto val="1"/>
        <c:lblAlgn val="ctr"/>
        <c:lblOffset val="100"/>
        <c:noMultiLvlLbl val="0"/>
      </c:catAx>
      <c:valAx>
        <c:axId val="141628424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41628328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tx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641539685144728E-2"/>
          <c:y val="0.46971455618995245"/>
          <c:w val="0.94635846031485527"/>
          <c:h val="0.5302854438100475"/>
        </c:manualLayout>
      </c:layout>
      <c:areaChart>
        <c:grouping val="standard"/>
        <c:varyColors val="0"/>
        <c:ser>
          <c:idx val="0"/>
          <c:order val="0"/>
          <c:tx>
            <c:strRef>
              <c:f>'pivot Report'!$H$7</c:f>
              <c:strCache>
                <c:ptCount val="1"/>
                <c:pt idx="0">
                  <c:v>Total</c:v>
                </c:pt>
              </c:strCache>
            </c:strRef>
          </c:tx>
          <c:spPr>
            <a:solidFill>
              <a:schemeClr val="accent1"/>
            </a:solidFill>
            <a:ln>
              <a:noFill/>
            </a:ln>
            <a:effectLst/>
          </c:spPr>
          <c:cat>
            <c:strRef>
              <c:f>'pivot Report'!$G$8:$G$37</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'pivot Report'!$H$8:$H$37</c:f>
              <c:numCache>
                <c:formatCode>General</c:formatCode>
                <c:ptCount val="29"/>
                <c:pt idx="0">
                  <c:v>13</c:v>
                </c:pt>
                <c:pt idx="1">
                  <c:v>10</c:v>
                </c:pt>
                <c:pt idx="2">
                  <c:v>8</c:v>
                </c:pt>
                <c:pt idx="3">
                  <c:v>12</c:v>
                </c:pt>
                <c:pt idx="4">
                  <c:v>19</c:v>
                </c:pt>
                <c:pt idx="5">
                  <c:v>9</c:v>
                </c:pt>
                <c:pt idx="6">
                  <c:v>13</c:v>
                </c:pt>
                <c:pt idx="7">
                  <c:v>19</c:v>
                </c:pt>
                <c:pt idx="8">
                  <c:v>10</c:v>
                </c:pt>
                <c:pt idx="9">
                  <c:v>20</c:v>
                </c:pt>
                <c:pt idx="10">
                  <c:v>15</c:v>
                </c:pt>
                <c:pt idx="11">
                  <c:v>13</c:v>
                </c:pt>
                <c:pt idx="12">
                  <c:v>9</c:v>
                </c:pt>
                <c:pt idx="13">
                  <c:v>19</c:v>
                </c:pt>
                <c:pt idx="14">
                  <c:v>14</c:v>
                </c:pt>
                <c:pt idx="15">
                  <c:v>17</c:v>
                </c:pt>
                <c:pt idx="16">
                  <c:v>17</c:v>
                </c:pt>
                <c:pt idx="17">
                  <c:v>15</c:v>
                </c:pt>
                <c:pt idx="18">
                  <c:v>9</c:v>
                </c:pt>
                <c:pt idx="19">
                  <c:v>14</c:v>
                </c:pt>
                <c:pt idx="20">
                  <c:v>22</c:v>
                </c:pt>
                <c:pt idx="21">
                  <c:v>16</c:v>
                </c:pt>
                <c:pt idx="22">
                  <c:v>22</c:v>
                </c:pt>
                <c:pt idx="23">
                  <c:v>12</c:v>
                </c:pt>
                <c:pt idx="24">
                  <c:v>20</c:v>
                </c:pt>
                <c:pt idx="25">
                  <c:v>18</c:v>
                </c:pt>
                <c:pt idx="26">
                  <c:v>18</c:v>
                </c:pt>
                <c:pt idx="27">
                  <c:v>13</c:v>
                </c:pt>
                <c:pt idx="28">
                  <c:v>15</c:v>
                </c:pt>
              </c:numCache>
            </c:numRef>
          </c:val>
          <c:extLst>
            <c:ext xmlns:c16="http://schemas.microsoft.com/office/drawing/2014/chart" uri="{C3380CC4-5D6E-409C-BE32-E72D297353CC}">
              <c16:uniqueId val="{00000000-3072-4D01-A087-C15D42FCFADA}"/>
            </c:ext>
          </c:extLst>
        </c:ser>
        <c:dLbls>
          <c:showLegendKey val="0"/>
          <c:showVal val="0"/>
          <c:showCatName val="0"/>
          <c:showSerName val="0"/>
          <c:showPercent val="0"/>
          <c:showBubbleSize val="0"/>
        </c:dLbls>
        <c:axId val="1416283280"/>
        <c:axId val="1416284240"/>
      </c:areaChart>
      <c:catAx>
        <c:axId val="1416283280"/>
        <c:scaling>
          <c:orientation val="minMax"/>
        </c:scaling>
        <c:delete val="1"/>
        <c:axPos val="b"/>
        <c:numFmt formatCode="General" sourceLinked="1"/>
        <c:majorTickMark val="out"/>
        <c:minorTickMark val="none"/>
        <c:tickLblPos val="nextTo"/>
        <c:crossAx val="1416284240"/>
        <c:crosses val="autoZero"/>
        <c:auto val="1"/>
        <c:lblAlgn val="ctr"/>
        <c:lblOffset val="100"/>
        <c:noMultiLvlLbl val="0"/>
      </c:catAx>
      <c:valAx>
        <c:axId val="141628424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41628328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Report!PivotTable5</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1"/>
        </c:manualLayout>
      </c:layout>
      <c:areaChart>
        <c:grouping val="standard"/>
        <c:varyColors val="0"/>
        <c:ser>
          <c:idx val="0"/>
          <c:order val="0"/>
          <c:tx>
            <c:strRef>
              <c:f>'pivot Report'!$O$7</c:f>
              <c:strCache>
                <c:ptCount val="1"/>
                <c:pt idx="0">
                  <c:v>Total</c:v>
                </c:pt>
              </c:strCache>
            </c:strRef>
          </c:tx>
          <c:spPr>
            <a:solidFill>
              <a:schemeClr val="accent1"/>
            </a:solidFill>
            <a:ln>
              <a:noFill/>
            </a:ln>
            <a:effectLst/>
          </c:spPr>
          <c:cat>
            <c:strRef>
              <c:f>'pivot Report'!$N$8:$N$37</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'pivot Report'!$O$8:$O$37</c:f>
              <c:numCache>
                <c:formatCode>0.00</c:formatCode>
                <c:ptCount val="29"/>
                <c:pt idx="0">
                  <c:v>35.692307692307693</c:v>
                </c:pt>
                <c:pt idx="1">
                  <c:v>45.4</c:v>
                </c:pt>
                <c:pt idx="2">
                  <c:v>29.375</c:v>
                </c:pt>
                <c:pt idx="3">
                  <c:v>34.583333333333336</c:v>
                </c:pt>
                <c:pt idx="4">
                  <c:v>38.684210526315788</c:v>
                </c:pt>
                <c:pt idx="5">
                  <c:v>34.777777777777779</c:v>
                </c:pt>
                <c:pt idx="6">
                  <c:v>37.307692307692307</c:v>
                </c:pt>
                <c:pt idx="7">
                  <c:v>35.631578947368418</c:v>
                </c:pt>
                <c:pt idx="8">
                  <c:v>36.6</c:v>
                </c:pt>
                <c:pt idx="9">
                  <c:v>39.700000000000003</c:v>
                </c:pt>
                <c:pt idx="10">
                  <c:v>37.4</c:v>
                </c:pt>
                <c:pt idx="11">
                  <c:v>27.76923076923077</c:v>
                </c:pt>
                <c:pt idx="12">
                  <c:v>38.777777777777779</c:v>
                </c:pt>
                <c:pt idx="13">
                  <c:v>31</c:v>
                </c:pt>
                <c:pt idx="14">
                  <c:v>35.928571428571431</c:v>
                </c:pt>
                <c:pt idx="15">
                  <c:v>37.882352941176471</c:v>
                </c:pt>
                <c:pt idx="16">
                  <c:v>40.588235294117645</c:v>
                </c:pt>
                <c:pt idx="17">
                  <c:v>34.533333333333331</c:v>
                </c:pt>
                <c:pt idx="18">
                  <c:v>40.333333333333336</c:v>
                </c:pt>
                <c:pt idx="19">
                  <c:v>35.285714285714285</c:v>
                </c:pt>
                <c:pt idx="20">
                  <c:v>35.5</c:v>
                </c:pt>
                <c:pt idx="21">
                  <c:v>38.5625</c:v>
                </c:pt>
                <c:pt idx="22">
                  <c:v>42.727272727272727</c:v>
                </c:pt>
                <c:pt idx="23">
                  <c:v>37.416666666666664</c:v>
                </c:pt>
                <c:pt idx="24">
                  <c:v>32.450000000000003</c:v>
                </c:pt>
                <c:pt idx="25">
                  <c:v>40.055555555555557</c:v>
                </c:pt>
                <c:pt idx="26">
                  <c:v>31.666666666666668</c:v>
                </c:pt>
                <c:pt idx="27">
                  <c:v>39.769230769230766</c:v>
                </c:pt>
                <c:pt idx="28">
                  <c:v>36.733333333333334</c:v>
                </c:pt>
              </c:numCache>
            </c:numRef>
          </c:val>
          <c:extLst>
            <c:ext xmlns:c16="http://schemas.microsoft.com/office/drawing/2014/chart" uri="{C3380CC4-5D6E-409C-BE32-E72D297353CC}">
              <c16:uniqueId val="{00000000-C1E3-4482-9ACC-3341086AD158}"/>
            </c:ext>
          </c:extLst>
        </c:ser>
        <c:dLbls>
          <c:showLegendKey val="0"/>
          <c:showVal val="0"/>
          <c:showCatName val="0"/>
          <c:showSerName val="0"/>
          <c:showPercent val="0"/>
          <c:showBubbleSize val="0"/>
        </c:dLbls>
        <c:axId val="1780859568"/>
        <c:axId val="1780856688"/>
      </c:areaChart>
      <c:catAx>
        <c:axId val="1780859568"/>
        <c:scaling>
          <c:orientation val="minMax"/>
        </c:scaling>
        <c:delete val="1"/>
        <c:axPos val="b"/>
        <c:numFmt formatCode="General" sourceLinked="1"/>
        <c:majorTickMark val="out"/>
        <c:minorTickMark val="none"/>
        <c:tickLblPos val="nextTo"/>
        <c:crossAx val="1780856688"/>
        <c:crosses val="autoZero"/>
        <c:auto val="1"/>
        <c:lblAlgn val="ctr"/>
        <c:lblOffset val="100"/>
        <c:noMultiLvlLbl val="0"/>
      </c:catAx>
      <c:valAx>
        <c:axId val="1780856688"/>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78085956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Report!PivotTable6</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603177063681162E-3"/>
          <c:y val="4.736071693570041E-2"/>
          <c:w val="0.98651169508173664"/>
          <c:h val="0.95263928306429946"/>
        </c:manualLayout>
      </c:layout>
      <c:areaChart>
        <c:grouping val="standard"/>
        <c:varyColors val="0"/>
        <c:ser>
          <c:idx val="0"/>
          <c:order val="0"/>
          <c:tx>
            <c:strRef>
              <c:f>'pivot Report'!$T$7</c:f>
              <c:strCache>
                <c:ptCount val="1"/>
                <c:pt idx="0">
                  <c:v>Total</c:v>
                </c:pt>
              </c:strCache>
            </c:strRef>
          </c:tx>
          <c:spPr>
            <a:solidFill>
              <a:schemeClr val="accent1"/>
            </a:solidFill>
            <a:ln>
              <a:noFill/>
            </a:ln>
            <a:effectLst/>
          </c:spPr>
          <c:cat>
            <c:strRef>
              <c:f>'pivot Report'!$S$8:$S$36</c:f>
              <c:strCache>
                <c:ptCount val="28"/>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27-Feb</c:v>
                </c:pt>
                <c:pt idx="26">
                  <c:v>28-Feb</c:v>
                </c:pt>
                <c:pt idx="27">
                  <c:v>29-Feb</c:v>
                </c:pt>
              </c:strCache>
            </c:strRef>
          </c:cat>
          <c:val>
            <c:numRef>
              <c:f>'pivot Report'!$T$8:$T$36</c:f>
              <c:numCache>
                <c:formatCode>0.00</c:formatCode>
                <c:ptCount val="28"/>
                <c:pt idx="0">
                  <c:v>4.166666666666667</c:v>
                </c:pt>
                <c:pt idx="1">
                  <c:v>5.75</c:v>
                </c:pt>
                <c:pt idx="2">
                  <c:v>4.75</c:v>
                </c:pt>
                <c:pt idx="3">
                  <c:v>7</c:v>
                </c:pt>
                <c:pt idx="4">
                  <c:v>3.1428571428571428</c:v>
                </c:pt>
                <c:pt idx="5">
                  <c:v>8</c:v>
                </c:pt>
                <c:pt idx="6">
                  <c:v>5.25</c:v>
                </c:pt>
                <c:pt idx="7">
                  <c:v>4.5714285714285712</c:v>
                </c:pt>
                <c:pt idx="8">
                  <c:v>2.75</c:v>
                </c:pt>
                <c:pt idx="9">
                  <c:v>4.5</c:v>
                </c:pt>
                <c:pt idx="10">
                  <c:v>5.5</c:v>
                </c:pt>
                <c:pt idx="11">
                  <c:v>5.6</c:v>
                </c:pt>
                <c:pt idx="12">
                  <c:v>5.75</c:v>
                </c:pt>
                <c:pt idx="13">
                  <c:v>3.4444444444444446</c:v>
                </c:pt>
                <c:pt idx="14">
                  <c:v>1.5</c:v>
                </c:pt>
                <c:pt idx="15">
                  <c:v>3.6666666666666665</c:v>
                </c:pt>
                <c:pt idx="16">
                  <c:v>4.4285714285714288</c:v>
                </c:pt>
                <c:pt idx="17">
                  <c:v>6</c:v>
                </c:pt>
                <c:pt idx="18">
                  <c:v>2.6666666666666665</c:v>
                </c:pt>
                <c:pt idx="19">
                  <c:v>7.5</c:v>
                </c:pt>
                <c:pt idx="20">
                  <c:v>4.5</c:v>
                </c:pt>
                <c:pt idx="21">
                  <c:v>8</c:v>
                </c:pt>
                <c:pt idx="22">
                  <c:v>4.3636363636363633</c:v>
                </c:pt>
                <c:pt idx="23">
                  <c:v>0</c:v>
                </c:pt>
                <c:pt idx="24">
                  <c:v>10</c:v>
                </c:pt>
                <c:pt idx="25">
                  <c:v>6.75</c:v>
                </c:pt>
                <c:pt idx="26">
                  <c:v>7</c:v>
                </c:pt>
                <c:pt idx="27">
                  <c:v>3.3333333333333335</c:v>
                </c:pt>
              </c:numCache>
            </c:numRef>
          </c:val>
          <c:extLst>
            <c:ext xmlns:c16="http://schemas.microsoft.com/office/drawing/2014/chart" uri="{C3380CC4-5D6E-409C-BE32-E72D297353CC}">
              <c16:uniqueId val="{00000000-AD70-458A-91C8-368D5B565E71}"/>
            </c:ext>
          </c:extLst>
        </c:ser>
        <c:dLbls>
          <c:showLegendKey val="0"/>
          <c:showVal val="0"/>
          <c:showCatName val="0"/>
          <c:showSerName val="0"/>
          <c:showPercent val="0"/>
          <c:showBubbleSize val="0"/>
        </c:dLbls>
        <c:axId val="1780841328"/>
        <c:axId val="1780843248"/>
      </c:areaChart>
      <c:catAx>
        <c:axId val="1780841328"/>
        <c:scaling>
          <c:orientation val="minMax"/>
        </c:scaling>
        <c:delete val="1"/>
        <c:axPos val="b"/>
        <c:numFmt formatCode="General" sourceLinked="1"/>
        <c:majorTickMark val="out"/>
        <c:minorTickMark val="none"/>
        <c:tickLblPos val="nextTo"/>
        <c:crossAx val="1780843248"/>
        <c:crosses val="autoZero"/>
        <c:auto val="1"/>
        <c:lblAlgn val="ctr"/>
        <c:lblOffset val="100"/>
        <c:noMultiLvlLbl val="0"/>
      </c:catAx>
      <c:valAx>
        <c:axId val="1780843248"/>
        <c:scaling>
          <c:orientation val="minMax"/>
        </c:scaling>
        <c:delete val="1"/>
        <c:axPos val="l"/>
        <c:majorGridlines>
          <c:spPr>
            <a:ln w="9525" cap="flat" cmpd="sng" algn="ctr">
              <a:noFill/>
              <a:round/>
            </a:ln>
            <a:effectLst/>
          </c:spPr>
        </c:majorGridlines>
        <c:numFmt formatCode="0.00" sourceLinked="1"/>
        <c:majorTickMark val="none"/>
        <c:minorTickMark val="none"/>
        <c:tickLblPos val="nextTo"/>
        <c:crossAx val="178084132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Report'!$C$55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Report'!$B$56:$B$64</c:f>
              <c:strCache>
                <c:ptCount val="8"/>
                <c:pt idx="0">
                  <c:v>0-9</c:v>
                </c:pt>
                <c:pt idx="1">
                  <c:v>10-19</c:v>
                </c:pt>
                <c:pt idx="2">
                  <c:v>20-29</c:v>
                </c:pt>
                <c:pt idx="3">
                  <c:v>30-39</c:v>
                </c:pt>
                <c:pt idx="4">
                  <c:v>40-49</c:v>
                </c:pt>
                <c:pt idx="5">
                  <c:v>50-59</c:v>
                </c:pt>
                <c:pt idx="6">
                  <c:v>60-69</c:v>
                </c:pt>
                <c:pt idx="7">
                  <c:v>70-79</c:v>
                </c:pt>
              </c:strCache>
            </c:strRef>
          </c:cat>
          <c:val>
            <c:numRef>
              <c:f>'pivot Report'!$C$56:$C$64</c:f>
              <c:numCache>
                <c:formatCode>0</c:formatCode>
                <c:ptCount val="8"/>
                <c:pt idx="0">
                  <c:v>42</c:v>
                </c:pt>
                <c:pt idx="1">
                  <c:v>46</c:v>
                </c:pt>
                <c:pt idx="2">
                  <c:v>54</c:v>
                </c:pt>
                <c:pt idx="3">
                  <c:v>68</c:v>
                </c:pt>
                <c:pt idx="4">
                  <c:v>62</c:v>
                </c:pt>
                <c:pt idx="5">
                  <c:v>52</c:v>
                </c:pt>
                <c:pt idx="6">
                  <c:v>54</c:v>
                </c:pt>
                <c:pt idx="7">
                  <c:v>53</c:v>
                </c:pt>
              </c:numCache>
            </c:numRef>
          </c:val>
          <c:extLst>
            <c:ext xmlns:c16="http://schemas.microsoft.com/office/drawing/2014/chart" uri="{C3380CC4-5D6E-409C-BE32-E72D297353CC}">
              <c16:uniqueId val="{00000000-4274-4A04-894F-1441A9228C78}"/>
            </c:ext>
          </c:extLst>
        </c:ser>
        <c:dLbls>
          <c:showLegendKey val="0"/>
          <c:showVal val="0"/>
          <c:showCatName val="0"/>
          <c:showSerName val="0"/>
          <c:showPercent val="0"/>
          <c:showBubbleSize val="0"/>
        </c:dLbls>
        <c:gapWidth val="219"/>
        <c:overlap val="-27"/>
        <c:axId val="396780096"/>
        <c:axId val="396784416"/>
      </c:barChart>
      <c:catAx>
        <c:axId val="396780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6784416"/>
        <c:crosses val="autoZero"/>
        <c:auto val="1"/>
        <c:lblAlgn val="ctr"/>
        <c:lblOffset val="100"/>
        <c:noMultiLvlLbl val="0"/>
      </c:catAx>
      <c:valAx>
        <c:axId val="396784416"/>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396780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Report!PivotTable10</c:name>
    <c:fmtId val="1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1825045846885055"/>
              <c:y val="-8.6957838000172025E-2"/>
            </c:manualLayout>
          </c:layout>
          <c:tx>
            <c:rich>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r>
                  <a:rPr lang="en-US" baseline="0"/>
                  <a:t>
</a:t>
                </a:r>
                <a:fld id="{11100F4F-0F36-40BD-B24B-850FADFEB391}" type="PERCENTAGE">
                  <a:rPr lang="en-US" baseline="0"/>
                  <a:pPr>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6"/>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r>
                  <a:rPr lang="en-US" baseline="0"/>
                  <a:t>
</a:t>
                </a:r>
                <a:fld id="{67E9FD7D-6FBE-439D-AEB6-9E82AD2AE8B5}" type="PERCENTAGE">
                  <a:rPr lang="en-US" baseline="0"/>
                  <a:pPr>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15581841554791748"/>
          <c:y val="0.14918786956990329"/>
          <c:w val="0.61727421171530961"/>
          <c:h val="0.64340250741410354"/>
        </c:manualLayout>
      </c:layout>
      <c:pieChart>
        <c:varyColors val="1"/>
        <c:ser>
          <c:idx val="0"/>
          <c:order val="0"/>
          <c:tx>
            <c:strRef>
              <c:f>'pivot Report'!$C$71</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5B19-42B4-9027-5310069A4904}"/>
              </c:ext>
            </c:extLst>
          </c:dPt>
          <c:dPt>
            <c:idx val="1"/>
            <c:bubble3D val="0"/>
            <c:spPr>
              <a:solidFill>
                <a:schemeClr val="accent2"/>
              </a:solidFill>
              <a:ln>
                <a:noFill/>
              </a:ln>
              <a:effectLst/>
            </c:spPr>
            <c:extLst>
              <c:ext xmlns:c16="http://schemas.microsoft.com/office/drawing/2014/chart" uri="{C3380CC4-5D6E-409C-BE32-E72D297353CC}">
                <c16:uniqueId val="{00000003-5B19-42B4-9027-5310069A4904}"/>
              </c:ext>
            </c:extLst>
          </c:dPt>
          <c:dLbls>
            <c:dLbl>
              <c:idx val="0"/>
              <c:layout>
                <c:manualLayout>
                  <c:x val="-0.1825045846885055"/>
                  <c:y val="-8.6957838000172025E-2"/>
                </c:manualLayout>
              </c:layout>
              <c:tx>
                <c:rich>
                  <a:bodyPr/>
                  <a:lstStyle/>
                  <a:p>
                    <a:r>
                      <a:rPr lang="en-US" baseline="0"/>
                      <a:t>
</a:t>
                    </a:r>
                    <a:fld id="{11100F4F-0F36-40BD-B24B-850FADFEB391}" type="PERCENTAGE">
                      <a:rPr lang="en-US" baseline="0"/>
                      <a:pPr/>
                      <a:t>[PERCENTAGE]</a:t>
                    </a:fld>
                    <a:endParaRPr lang="en-US" baseline="0"/>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5B19-42B4-9027-5310069A4904}"/>
                </c:ext>
              </c:extLst>
            </c:dLbl>
            <c:dLbl>
              <c:idx val="1"/>
              <c:tx>
                <c:rich>
                  <a:bodyPr/>
                  <a:lstStyle/>
                  <a:p>
                    <a:r>
                      <a:rPr lang="en-US" baseline="0"/>
                      <a:t>
</a:t>
                    </a:r>
                    <a:fld id="{67E9FD7D-6FBE-439D-AEB6-9E82AD2AE8B5}" type="PERCENTAGE">
                      <a:rPr lang="en-US" baseline="0"/>
                      <a:pPr/>
                      <a:t>[PERCENTAGE]</a:t>
                    </a:fld>
                    <a:endParaRPr lang="en-US" baseline="0"/>
                  </a:p>
                </c:rich>
              </c:tx>
              <c:dLblPos val="in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5B19-42B4-9027-5310069A4904}"/>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Report'!$B$72:$B$74</c:f>
              <c:strCache>
                <c:ptCount val="2"/>
                <c:pt idx="0">
                  <c:v>Delay</c:v>
                </c:pt>
                <c:pt idx="1">
                  <c:v>Ontime</c:v>
                </c:pt>
              </c:strCache>
            </c:strRef>
          </c:cat>
          <c:val>
            <c:numRef>
              <c:f>'pivot Report'!$C$72:$C$74</c:f>
              <c:numCache>
                <c:formatCode>0</c:formatCode>
                <c:ptCount val="2"/>
                <c:pt idx="0">
                  <c:v>283</c:v>
                </c:pt>
                <c:pt idx="1">
                  <c:v>148</c:v>
                </c:pt>
              </c:numCache>
            </c:numRef>
          </c:val>
          <c:extLst>
            <c:ext xmlns:c16="http://schemas.microsoft.com/office/drawing/2014/chart" uri="{C3380CC4-5D6E-409C-BE32-E72D297353CC}">
              <c16:uniqueId val="{00000004-5B19-42B4-9027-5310069A4904}"/>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1.3394780570818046E-2"/>
          <c:y val="1.0500060720991715E-2"/>
          <c:w val="0.94473720214284729"/>
          <c:h val="0.14960640341781337"/>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8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Report!PivotTable11</c:name>
    <c:fmtId val="22"/>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manualLayout>
          <c:layoutTarget val="inner"/>
          <c:xMode val="edge"/>
          <c:yMode val="edge"/>
          <c:x val="0.19267262661996293"/>
          <c:y val="0.1701640183993175"/>
          <c:w val="0.61075173251079007"/>
          <c:h val="0.63660318615534306"/>
        </c:manualLayout>
      </c:layout>
      <c:doughnutChart>
        <c:varyColors val="1"/>
        <c:ser>
          <c:idx val="0"/>
          <c:order val="0"/>
          <c:tx>
            <c:strRef>
              <c:f>'pivot Report'!$C$78</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856C-464B-BB16-D14BB874734C}"/>
              </c:ext>
            </c:extLst>
          </c:dPt>
          <c:dPt>
            <c:idx val="1"/>
            <c:bubble3D val="0"/>
            <c:spPr>
              <a:solidFill>
                <a:schemeClr val="accent2"/>
              </a:solidFill>
              <a:ln>
                <a:noFill/>
              </a:ln>
              <a:effectLst/>
            </c:spPr>
            <c:extLst>
              <c:ext xmlns:c16="http://schemas.microsoft.com/office/drawing/2014/chart" uri="{C3380CC4-5D6E-409C-BE32-E72D297353CC}">
                <c16:uniqueId val="{00000003-856C-464B-BB16-D14BB874734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Report'!$B$79:$B$81</c:f>
              <c:strCache>
                <c:ptCount val="2"/>
                <c:pt idx="0">
                  <c:v>Female</c:v>
                </c:pt>
                <c:pt idx="1">
                  <c:v>Male</c:v>
                </c:pt>
              </c:strCache>
            </c:strRef>
          </c:cat>
          <c:val>
            <c:numRef>
              <c:f>'pivot Report'!$C$79:$C$81</c:f>
              <c:numCache>
                <c:formatCode>0.00</c:formatCode>
                <c:ptCount val="2"/>
                <c:pt idx="0">
                  <c:v>194</c:v>
                </c:pt>
                <c:pt idx="1">
                  <c:v>237</c:v>
                </c:pt>
              </c:numCache>
            </c:numRef>
          </c:val>
          <c:extLst>
            <c:ext xmlns:c16="http://schemas.microsoft.com/office/drawing/2014/chart" uri="{C3380CC4-5D6E-409C-BE32-E72D297353CC}">
              <c16:uniqueId val="{00000004-856C-464B-BB16-D14BB874734C}"/>
            </c:ext>
          </c:extLst>
        </c:ser>
        <c:dLbls>
          <c:showLegendKey val="0"/>
          <c:showVal val="0"/>
          <c:showCatName val="0"/>
          <c:showSerName val="0"/>
          <c:showPercent val="1"/>
          <c:showBubbleSize val="0"/>
          <c:showLeaderLines val="1"/>
        </c:dLbls>
        <c:firstSliceAng val="0"/>
        <c:holeSize val="40"/>
      </c:doughnutChart>
      <c:spPr>
        <a:noFill/>
        <a:ln>
          <a:noFill/>
        </a:ln>
        <a:effectLst/>
      </c:spPr>
    </c:plotArea>
    <c:legend>
      <c:legendPos val="r"/>
      <c:layout>
        <c:manualLayout>
          <c:xMode val="edge"/>
          <c:yMode val="edge"/>
          <c:x val="1.1068338246373663E-2"/>
          <c:y val="8.314962316335989E-3"/>
          <c:w val="0.97021921557032675"/>
          <c:h val="0.1685370023669993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Report!PivotTable12</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015187128497732"/>
          <c:y val="8.4585515835413655E-2"/>
          <c:w val="0.74132605283563291"/>
          <c:h val="0.80007059893447685"/>
        </c:manualLayout>
      </c:layout>
      <c:barChart>
        <c:barDir val="bar"/>
        <c:grouping val="clustered"/>
        <c:varyColors val="0"/>
        <c:ser>
          <c:idx val="0"/>
          <c:order val="0"/>
          <c:tx>
            <c:strRef>
              <c:f>'pivot Report'!$C$86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Report'!$B$87:$B$95</c:f>
              <c:strCache>
                <c:ptCount val="8"/>
                <c:pt idx="0">
                  <c:v>Neurology</c:v>
                </c:pt>
                <c:pt idx="1">
                  <c:v>Gastroenterology</c:v>
                </c:pt>
                <c:pt idx="2">
                  <c:v>Renal</c:v>
                </c:pt>
                <c:pt idx="3">
                  <c:v>Cardiology</c:v>
                </c:pt>
                <c:pt idx="4">
                  <c:v>Physiotherapy</c:v>
                </c:pt>
                <c:pt idx="5">
                  <c:v>Orthopedics</c:v>
                </c:pt>
                <c:pt idx="6">
                  <c:v>General Practice</c:v>
                </c:pt>
                <c:pt idx="7">
                  <c:v>None</c:v>
                </c:pt>
              </c:strCache>
            </c:strRef>
          </c:cat>
          <c:val>
            <c:numRef>
              <c:f>'pivot Report'!$C$87:$C$95</c:f>
              <c:numCache>
                <c:formatCode>0</c:formatCode>
                <c:ptCount val="8"/>
                <c:pt idx="0">
                  <c:v>6</c:v>
                </c:pt>
                <c:pt idx="1">
                  <c:v>6</c:v>
                </c:pt>
                <c:pt idx="2">
                  <c:v>6</c:v>
                </c:pt>
                <c:pt idx="3">
                  <c:v>12</c:v>
                </c:pt>
                <c:pt idx="4">
                  <c:v>14</c:v>
                </c:pt>
                <c:pt idx="5">
                  <c:v>46</c:v>
                </c:pt>
                <c:pt idx="6">
                  <c:v>89</c:v>
                </c:pt>
                <c:pt idx="7">
                  <c:v>252</c:v>
                </c:pt>
              </c:numCache>
            </c:numRef>
          </c:val>
          <c:extLst>
            <c:ext xmlns:c16="http://schemas.microsoft.com/office/drawing/2014/chart" uri="{C3380CC4-5D6E-409C-BE32-E72D297353CC}">
              <c16:uniqueId val="{00000000-F963-4E18-BE5B-8E496446EF88}"/>
            </c:ext>
          </c:extLst>
        </c:ser>
        <c:dLbls>
          <c:showLegendKey val="0"/>
          <c:showVal val="0"/>
          <c:showCatName val="0"/>
          <c:showSerName val="0"/>
          <c:showPercent val="0"/>
          <c:showBubbleSize val="0"/>
        </c:dLbls>
        <c:gapWidth val="182"/>
        <c:axId val="195931904"/>
        <c:axId val="195933824"/>
      </c:barChart>
      <c:catAx>
        <c:axId val="195931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95933824"/>
        <c:crosses val="autoZero"/>
        <c:auto val="1"/>
        <c:lblAlgn val="ctr"/>
        <c:lblOffset val="100"/>
        <c:noMultiLvlLbl val="0"/>
      </c:catAx>
      <c:valAx>
        <c:axId val="195933824"/>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95931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Report!PivotTable6</c:name>
    <c:fmtId val="2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Report'!$T$7</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Report'!$S$8:$S$36</c:f>
              <c:strCache>
                <c:ptCount val="28"/>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27-Feb</c:v>
                </c:pt>
                <c:pt idx="26">
                  <c:v>28-Feb</c:v>
                </c:pt>
                <c:pt idx="27">
                  <c:v>29-Feb</c:v>
                </c:pt>
              </c:strCache>
            </c:strRef>
          </c:cat>
          <c:val>
            <c:numRef>
              <c:f>'pivot Report'!$T$8:$T$36</c:f>
              <c:numCache>
                <c:formatCode>0.00</c:formatCode>
                <c:ptCount val="28"/>
                <c:pt idx="0">
                  <c:v>4.166666666666667</c:v>
                </c:pt>
                <c:pt idx="1">
                  <c:v>5.75</c:v>
                </c:pt>
                <c:pt idx="2">
                  <c:v>4.75</c:v>
                </c:pt>
                <c:pt idx="3">
                  <c:v>7</c:v>
                </c:pt>
                <c:pt idx="4">
                  <c:v>3.1428571428571428</c:v>
                </c:pt>
                <c:pt idx="5">
                  <c:v>8</c:v>
                </c:pt>
                <c:pt idx="6">
                  <c:v>5.25</c:v>
                </c:pt>
                <c:pt idx="7">
                  <c:v>4.5714285714285712</c:v>
                </c:pt>
                <c:pt idx="8">
                  <c:v>2.75</c:v>
                </c:pt>
                <c:pt idx="9">
                  <c:v>4.5</c:v>
                </c:pt>
                <c:pt idx="10">
                  <c:v>5.5</c:v>
                </c:pt>
                <c:pt idx="11">
                  <c:v>5.6</c:v>
                </c:pt>
                <c:pt idx="12">
                  <c:v>5.75</c:v>
                </c:pt>
                <c:pt idx="13">
                  <c:v>3.4444444444444446</c:v>
                </c:pt>
                <c:pt idx="14">
                  <c:v>1.5</c:v>
                </c:pt>
                <c:pt idx="15">
                  <c:v>3.6666666666666665</c:v>
                </c:pt>
                <c:pt idx="16">
                  <c:v>4.4285714285714288</c:v>
                </c:pt>
                <c:pt idx="17">
                  <c:v>6</c:v>
                </c:pt>
                <c:pt idx="18">
                  <c:v>2.6666666666666665</c:v>
                </c:pt>
                <c:pt idx="19">
                  <c:v>7.5</c:v>
                </c:pt>
                <c:pt idx="20">
                  <c:v>4.5</c:v>
                </c:pt>
                <c:pt idx="21">
                  <c:v>8</c:v>
                </c:pt>
                <c:pt idx="22">
                  <c:v>4.3636363636363633</c:v>
                </c:pt>
                <c:pt idx="23">
                  <c:v>0</c:v>
                </c:pt>
                <c:pt idx="24">
                  <c:v>10</c:v>
                </c:pt>
                <c:pt idx="25">
                  <c:v>6.75</c:v>
                </c:pt>
                <c:pt idx="26">
                  <c:v>7</c:v>
                </c:pt>
                <c:pt idx="27">
                  <c:v>3.3333333333333335</c:v>
                </c:pt>
              </c:numCache>
            </c:numRef>
          </c:val>
          <c:extLst>
            <c:ext xmlns:c16="http://schemas.microsoft.com/office/drawing/2014/chart" uri="{C3380CC4-5D6E-409C-BE32-E72D297353CC}">
              <c16:uniqueId val="{00000002-918D-4495-9A92-F8EDD5909BDF}"/>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780841328"/>
        <c:axId val="1780843248"/>
      </c:areaChart>
      <c:catAx>
        <c:axId val="1780841328"/>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780843248"/>
        <c:crosses val="autoZero"/>
        <c:auto val="1"/>
        <c:lblAlgn val="ctr"/>
        <c:lblOffset val="100"/>
        <c:noMultiLvlLbl val="0"/>
      </c:catAx>
      <c:valAx>
        <c:axId val="1780843248"/>
        <c:scaling>
          <c:orientation val="minMax"/>
        </c:scaling>
        <c:delete val="1"/>
        <c:axPos val="l"/>
        <c:numFmt formatCode="0.00" sourceLinked="1"/>
        <c:majorTickMark val="out"/>
        <c:minorTickMark val="none"/>
        <c:tickLblPos val="nextTo"/>
        <c:crossAx val="178084132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Sheet1!A1"/></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hyperlink" Target="#Sheet1!A1"/><Relationship Id="rId1" Type="http://schemas.openxmlformats.org/officeDocument/2006/relationships/chart" Target="../charts/chart3.xml"/><Relationship Id="rId4" Type="http://schemas.openxmlformats.org/officeDocument/2006/relationships/image" Target="../media/image4.svg"/></Relationships>
</file>

<file path=xl/drawings/_rels/drawing5.xml.rels><?xml version="1.0" encoding="UTF-8" standalone="yes"?>
<Relationships xmlns="http://schemas.openxmlformats.org/package/2006/relationships"><Relationship Id="rId8" Type="http://schemas.openxmlformats.org/officeDocument/2006/relationships/image" Target="../media/image11.svg"/><Relationship Id="rId13" Type="http://schemas.openxmlformats.org/officeDocument/2006/relationships/hyperlink" Target="#'satisfaction score daily trend'!A1"/><Relationship Id="rId18" Type="http://schemas.openxmlformats.org/officeDocument/2006/relationships/chart" Target="../charts/chart9.xml"/><Relationship Id="rId3" Type="http://schemas.openxmlformats.org/officeDocument/2006/relationships/image" Target="../media/image6.png"/><Relationship Id="rId7" Type="http://schemas.openxmlformats.org/officeDocument/2006/relationships/image" Target="../media/image10.png"/><Relationship Id="rId12" Type="http://schemas.openxmlformats.org/officeDocument/2006/relationships/chart" Target="../charts/chart5.xml"/><Relationship Id="rId17" Type="http://schemas.openxmlformats.org/officeDocument/2006/relationships/chart" Target="../charts/chart8.xml"/><Relationship Id="rId2" Type="http://schemas.microsoft.com/office/2007/relationships/hdphoto" Target="../media/hdphoto1.wdp"/><Relationship Id="rId16" Type="http://schemas.openxmlformats.org/officeDocument/2006/relationships/chart" Target="../charts/chart7.xml"/><Relationship Id="rId1" Type="http://schemas.openxmlformats.org/officeDocument/2006/relationships/image" Target="../media/image5.png"/><Relationship Id="rId6" Type="http://schemas.openxmlformats.org/officeDocument/2006/relationships/image" Target="../media/image9.svg"/><Relationship Id="rId11" Type="http://schemas.openxmlformats.org/officeDocument/2006/relationships/hyperlink" Target="#'Average wait time daily trend'!A1"/><Relationship Id="rId5" Type="http://schemas.openxmlformats.org/officeDocument/2006/relationships/image" Target="../media/image8.png"/><Relationship Id="rId15" Type="http://schemas.openxmlformats.org/officeDocument/2006/relationships/image" Target="../media/image12.emf"/><Relationship Id="rId10" Type="http://schemas.openxmlformats.org/officeDocument/2006/relationships/chart" Target="../charts/chart4.xml"/><Relationship Id="rId19" Type="http://schemas.openxmlformats.org/officeDocument/2006/relationships/chart" Target="../charts/chart10.xml"/><Relationship Id="rId4" Type="http://schemas.openxmlformats.org/officeDocument/2006/relationships/image" Target="../media/image7.svg"/><Relationship Id="rId9" Type="http://schemas.openxmlformats.org/officeDocument/2006/relationships/hyperlink" Target="#'Daily ER No of Patient'!A1"/><Relationship Id="rId14"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3" Type="http://schemas.openxmlformats.org/officeDocument/2006/relationships/image" Target="../media/image15.svg"/><Relationship Id="rId2" Type="http://schemas.openxmlformats.org/officeDocument/2006/relationships/image" Target="../media/image14.png"/><Relationship Id="rId1" Type="http://schemas.openxmlformats.org/officeDocument/2006/relationships/hyperlink" Target="#Sheet1!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13.emf"/></Relationships>
</file>

<file path=xl/drawings/drawing1.xml><?xml version="1.0" encoding="utf-8"?>
<xdr:wsDr xmlns:xdr="http://schemas.openxmlformats.org/drawingml/2006/spreadsheetDrawing" xmlns:a="http://schemas.openxmlformats.org/drawingml/2006/main">
  <xdr:twoCellAnchor>
    <xdr:from>
      <xdr:col>3</xdr:col>
      <xdr:colOff>28577</xdr:colOff>
      <xdr:row>46</xdr:row>
      <xdr:rowOff>180973</xdr:rowOff>
    </xdr:from>
    <xdr:to>
      <xdr:col>3</xdr:col>
      <xdr:colOff>1352551</xdr:colOff>
      <xdr:row>49</xdr:row>
      <xdr:rowOff>9524</xdr:rowOff>
    </xdr:to>
    <xdr:graphicFrame macro="">
      <xdr:nvGraphicFramePr>
        <xdr:cNvPr id="6" name="Chart 5">
          <a:extLst>
            <a:ext uri="{FF2B5EF4-FFF2-40B4-BE49-F238E27FC236}">
              <a16:creationId xmlns:a16="http://schemas.microsoft.com/office/drawing/2014/main" id="{1FCDAA44-FAFF-6896-F7DA-36DA4354D9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1133475</xdr:colOff>
      <xdr:row>96</xdr:row>
      <xdr:rowOff>47625</xdr:rowOff>
    </xdr:from>
    <xdr:to>
      <xdr:col>5</xdr:col>
      <xdr:colOff>361950</xdr:colOff>
      <xdr:row>109</xdr:row>
      <xdr:rowOff>95250</xdr:rowOff>
    </xdr:to>
    <mc:AlternateContent xmlns:mc="http://schemas.openxmlformats.org/markup-compatibility/2006" xmlns:a14="http://schemas.microsoft.com/office/drawing/2010/main">
      <mc:Choice Requires="a14">
        <xdr:graphicFrame macro="">
          <xdr:nvGraphicFramePr>
            <xdr:cNvPr id="8" name="Date (Year)">
              <a:extLst>
                <a:ext uri="{FF2B5EF4-FFF2-40B4-BE49-F238E27FC236}">
                  <a16:creationId xmlns:a16="http://schemas.microsoft.com/office/drawing/2014/main" id="{2C68FFF5-34BF-7F92-7AB7-DC518A02A582}"/>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4905375" y="183356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238125</xdr:colOff>
      <xdr:row>2</xdr:row>
      <xdr:rowOff>152400</xdr:rowOff>
    </xdr:from>
    <xdr:to>
      <xdr:col>14</xdr:col>
      <xdr:colOff>561975</xdr:colOff>
      <xdr:row>17</xdr:row>
      <xdr:rowOff>38100</xdr:rowOff>
    </xdr:to>
    <xdr:graphicFrame macro="">
      <xdr:nvGraphicFramePr>
        <xdr:cNvPr id="2" name="Chart 1">
          <a:extLst>
            <a:ext uri="{FF2B5EF4-FFF2-40B4-BE49-F238E27FC236}">
              <a16:creationId xmlns:a16="http://schemas.microsoft.com/office/drawing/2014/main" id="{B86A628A-5B39-4160-B272-94A057BB03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cdr:x>
      <cdr:y>0</cdr:y>
    </cdr:from>
    <cdr:to>
      <cdr:x>0.04734</cdr:x>
      <cdr:y>0.14236</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11B0B1BD-EA59-E7E7-45D3-EBA6623D0BD1}"/>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390525" cy="390525"/>
        </a:xfrm>
        <a:prstGeom xmlns:a="http://schemas.openxmlformats.org/drawingml/2006/main" prst="rect">
          <a:avLst/>
        </a:prstGeom>
      </cdr:spPr>
    </cdr:pic>
  </cdr:relSizeAnchor>
</c:userShapes>
</file>

<file path=xl/drawings/drawing4.xml><?xml version="1.0" encoding="utf-8"?>
<xdr:wsDr xmlns:xdr="http://schemas.openxmlformats.org/drawingml/2006/spreadsheetDrawing" xmlns:a="http://schemas.openxmlformats.org/drawingml/2006/main">
  <xdr:twoCellAnchor>
    <xdr:from>
      <xdr:col>0</xdr:col>
      <xdr:colOff>9525</xdr:colOff>
      <xdr:row>0</xdr:row>
      <xdr:rowOff>9525</xdr:rowOff>
    </xdr:from>
    <xdr:to>
      <xdr:col>8</xdr:col>
      <xdr:colOff>419100</xdr:colOff>
      <xdr:row>12</xdr:row>
      <xdr:rowOff>66675</xdr:rowOff>
    </xdr:to>
    <xdr:graphicFrame macro="">
      <xdr:nvGraphicFramePr>
        <xdr:cNvPr id="2" name="Chart 1">
          <a:extLst>
            <a:ext uri="{FF2B5EF4-FFF2-40B4-BE49-F238E27FC236}">
              <a16:creationId xmlns:a16="http://schemas.microsoft.com/office/drawing/2014/main" id="{359E40DE-146E-481E-8309-26438F97A2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0</xdr:col>
      <xdr:colOff>390525</xdr:colOff>
      <xdr:row>2</xdr:row>
      <xdr:rowOff>9525</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3331AB0C-9AFF-D1A6-94CB-3F2982C4754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0"/>
          <a:ext cx="390525" cy="3905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0</xdr:colOff>
      <xdr:row>0</xdr:row>
      <xdr:rowOff>55104</xdr:rowOff>
    </xdr:from>
    <xdr:to>
      <xdr:col>5</xdr:col>
      <xdr:colOff>181054</xdr:colOff>
      <xdr:row>3</xdr:row>
      <xdr:rowOff>110207</xdr:rowOff>
    </xdr:to>
    <xdr:sp macro="" textlink="">
      <xdr:nvSpPr>
        <xdr:cNvPr id="3" name="Rectangle: Rounded Corners 2">
          <a:extLst>
            <a:ext uri="{FF2B5EF4-FFF2-40B4-BE49-F238E27FC236}">
              <a16:creationId xmlns:a16="http://schemas.microsoft.com/office/drawing/2014/main" id="{60FED2C2-05B4-D66B-99FA-D70947420222}"/>
            </a:ext>
          </a:extLst>
        </xdr:cNvPr>
        <xdr:cNvSpPr/>
      </xdr:nvSpPr>
      <xdr:spPr>
        <a:xfrm>
          <a:off x="0" y="55104"/>
          <a:ext cx="3211736" cy="621880"/>
        </a:xfrm>
        <a:prstGeom prst="roundRect">
          <a:avLst>
            <a:gd name="adj" fmla="val 21731"/>
          </a:avLst>
        </a:prstGeom>
        <a:solidFill>
          <a:schemeClr val="bg1">
            <a:lumMod val="8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100" baseline="0"/>
            <a:t> </a:t>
          </a:r>
          <a:endParaRPr lang="en-US" sz="1100"/>
        </a:p>
      </xdr:txBody>
    </xdr:sp>
    <xdr:clientData/>
  </xdr:twoCellAnchor>
  <xdr:twoCellAnchor editAs="absolute">
    <xdr:from>
      <xdr:col>5</xdr:col>
      <xdr:colOff>259773</xdr:colOff>
      <xdr:row>0</xdr:row>
      <xdr:rowOff>47233</xdr:rowOff>
    </xdr:from>
    <xdr:to>
      <xdr:col>8</xdr:col>
      <xdr:colOff>283388</xdr:colOff>
      <xdr:row>3</xdr:row>
      <xdr:rowOff>102336</xdr:rowOff>
    </xdr:to>
    <xdr:sp macro="" textlink="">
      <xdr:nvSpPr>
        <xdr:cNvPr id="5" name="Rectangle: Rounded Corners 4">
          <a:extLst>
            <a:ext uri="{FF2B5EF4-FFF2-40B4-BE49-F238E27FC236}">
              <a16:creationId xmlns:a16="http://schemas.microsoft.com/office/drawing/2014/main" id="{02201081-028F-6885-1A68-65829B590A9F}"/>
            </a:ext>
          </a:extLst>
        </xdr:cNvPr>
        <xdr:cNvSpPr/>
      </xdr:nvSpPr>
      <xdr:spPr>
        <a:xfrm>
          <a:off x="3318259" y="47233"/>
          <a:ext cx="1858707" cy="631846"/>
        </a:xfrm>
        <a:prstGeom prst="roundRect">
          <a:avLst>
            <a:gd name="adj" fmla="val 0"/>
          </a:avLst>
        </a:prstGeom>
        <a:solidFill>
          <a:schemeClr val="bg1">
            <a:lumMod val="8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8</xdr:col>
      <xdr:colOff>409338</xdr:colOff>
      <xdr:row>0</xdr:row>
      <xdr:rowOff>47231</xdr:rowOff>
    </xdr:from>
    <xdr:to>
      <xdr:col>11</xdr:col>
      <xdr:colOff>291260</xdr:colOff>
      <xdr:row>8</xdr:row>
      <xdr:rowOff>149565</xdr:rowOff>
    </xdr:to>
    <xdr:sp macro="" textlink="">
      <xdr:nvSpPr>
        <xdr:cNvPr id="6" name="Rectangle: Rounded Corners 5">
          <a:extLst>
            <a:ext uri="{FF2B5EF4-FFF2-40B4-BE49-F238E27FC236}">
              <a16:creationId xmlns:a16="http://schemas.microsoft.com/office/drawing/2014/main" id="{936DF5C8-3CC0-5B60-13ED-C784CDEBC368}"/>
            </a:ext>
          </a:extLst>
        </xdr:cNvPr>
        <xdr:cNvSpPr/>
      </xdr:nvSpPr>
      <xdr:spPr>
        <a:xfrm>
          <a:off x="5258429" y="47231"/>
          <a:ext cx="1700331" cy="1613739"/>
        </a:xfrm>
        <a:prstGeom prst="roundRect">
          <a:avLst>
            <a:gd name="adj" fmla="val 10999"/>
          </a:avLst>
        </a:prstGeom>
        <a:solidFill>
          <a:schemeClr val="bg1">
            <a:lumMod val="8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11</xdr:col>
      <xdr:colOff>412877</xdr:colOff>
      <xdr:row>0</xdr:row>
      <xdr:rowOff>55104</xdr:rowOff>
    </xdr:from>
    <xdr:to>
      <xdr:col>14</xdr:col>
      <xdr:colOff>294799</xdr:colOff>
      <xdr:row>8</xdr:row>
      <xdr:rowOff>157438</xdr:rowOff>
    </xdr:to>
    <xdr:sp macro="" textlink="">
      <xdr:nvSpPr>
        <xdr:cNvPr id="7" name="Rectangle: Rounded Corners 6">
          <a:extLst>
            <a:ext uri="{FF2B5EF4-FFF2-40B4-BE49-F238E27FC236}">
              <a16:creationId xmlns:a16="http://schemas.microsoft.com/office/drawing/2014/main" id="{13B46AB1-E994-FC2D-2C9F-D2944577B969}"/>
            </a:ext>
          </a:extLst>
        </xdr:cNvPr>
        <xdr:cNvSpPr/>
      </xdr:nvSpPr>
      <xdr:spPr>
        <a:xfrm>
          <a:off x="7141547" y="55104"/>
          <a:ext cx="1717013" cy="1640316"/>
        </a:xfrm>
        <a:prstGeom prst="roundRect">
          <a:avLst>
            <a:gd name="adj" fmla="val 10999"/>
          </a:avLst>
        </a:prstGeom>
        <a:solidFill>
          <a:schemeClr val="bg1">
            <a:lumMod val="8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31487</xdr:colOff>
      <xdr:row>3</xdr:row>
      <xdr:rowOff>188925</xdr:rowOff>
    </xdr:from>
    <xdr:to>
      <xdr:col>1</xdr:col>
      <xdr:colOff>401467</xdr:colOff>
      <xdr:row>17</xdr:row>
      <xdr:rowOff>62975</xdr:rowOff>
    </xdr:to>
    <xdr:sp macro="" textlink="">
      <xdr:nvSpPr>
        <xdr:cNvPr id="8" name="Rectangle: Rounded Corners 7">
          <a:extLst>
            <a:ext uri="{FF2B5EF4-FFF2-40B4-BE49-F238E27FC236}">
              <a16:creationId xmlns:a16="http://schemas.microsoft.com/office/drawing/2014/main" id="{61A6EA69-85F7-589E-02AA-C22433F676AE}"/>
            </a:ext>
          </a:extLst>
        </xdr:cNvPr>
        <xdr:cNvSpPr/>
      </xdr:nvSpPr>
      <xdr:spPr>
        <a:xfrm>
          <a:off x="31487" y="755702"/>
          <a:ext cx="976116" cy="2519009"/>
        </a:xfrm>
        <a:prstGeom prst="roundRect">
          <a:avLst>
            <a:gd name="adj" fmla="val 3989"/>
          </a:avLst>
        </a:prstGeom>
        <a:solidFill>
          <a:schemeClr val="bg1">
            <a:lumMod val="8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479233</xdr:colOff>
      <xdr:row>3</xdr:row>
      <xdr:rowOff>161371</xdr:rowOff>
    </xdr:from>
    <xdr:to>
      <xdr:col>3</xdr:col>
      <xdr:colOff>503802</xdr:colOff>
      <xdr:row>7</xdr:row>
      <xdr:rowOff>177121</xdr:rowOff>
    </xdr:to>
    <xdr:sp macro="" textlink="">
      <xdr:nvSpPr>
        <xdr:cNvPr id="9" name="Rectangle: Rounded Corners 8">
          <a:extLst>
            <a:ext uri="{FF2B5EF4-FFF2-40B4-BE49-F238E27FC236}">
              <a16:creationId xmlns:a16="http://schemas.microsoft.com/office/drawing/2014/main" id="{6F368E42-1134-76E3-1216-7C4B965D06E0}"/>
            </a:ext>
          </a:extLst>
        </xdr:cNvPr>
        <xdr:cNvSpPr/>
      </xdr:nvSpPr>
      <xdr:spPr>
        <a:xfrm>
          <a:off x="1085369" y="728148"/>
          <a:ext cx="1236842" cy="771452"/>
        </a:xfrm>
        <a:prstGeom prst="roundRect">
          <a:avLst>
            <a:gd name="adj" fmla="val 2041"/>
          </a:avLst>
        </a:prstGeom>
        <a:solidFill>
          <a:schemeClr val="bg1">
            <a:lumMod val="8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3</xdr:col>
      <xdr:colOff>558905</xdr:colOff>
      <xdr:row>3</xdr:row>
      <xdr:rowOff>149566</xdr:rowOff>
    </xdr:from>
    <xdr:to>
      <xdr:col>6</xdr:col>
      <xdr:colOff>133822</xdr:colOff>
      <xdr:row>8</xdr:row>
      <xdr:rowOff>15743</xdr:rowOff>
    </xdr:to>
    <xdr:sp macro="" textlink="">
      <xdr:nvSpPr>
        <xdr:cNvPr id="10" name="Rectangle: Rounded Corners 9">
          <a:extLst>
            <a:ext uri="{FF2B5EF4-FFF2-40B4-BE49-F238E27FC236}">
              <a16:creationId xmlns:a16="http://schemas.microsoft.com/office/drawing/2014/main" id="{547CD56E-165D-39FB-EB78-15714AC2F882}"/>
            </a:ext>
          </a:extLst>
        </xdr:cNvPr>
        <xdr:cNvSpPr/>
      </xdr:nvSpPr>
      <xdr:spPr>
        <a:xfrm>
          <a:off x="2377314" y="716343"/>
          <a:ext cx="1393326" cy="810805"/>
        </a:xfrm>
        <a:prstGeom prst="roundRect">
          <a:avLst>
            <a:gd name="adj" fmla="val 3883"/>
          </a:avLst>
        </a:prstGeom>
        <a:solidFill>
          <a:schemeClr val="bg1">
            <a:lumMod val="8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6</xdr:col>
      <xdr:colOff>181054</xdr:colOff>
      <xdr:row>3</xdr:row>
      <xdr:rowOff>133821</xdr:rowOff>
    </xdr:from>
    <xdr:to>
      <xdr:col>8</xdr:col>
      <xdr:colOff>346364</xdr:colOff>
      <xdr:row>7</xdr:row>
      <xdr:rowOff>188924</xdr:rowOff>
    </xdr:to>
    <xdr:sp macro="" textlink="">
      <xdr:nvSpPr>
        <xdr:cNvPr id="11" name="Rectangle: Rounded Corners 10">
          <a:extLst>
            <a:ext uri="{FF2B5EF4-FFF2-40B4-BE49-F238E27FC236}">
              <a16:creationId xmlns:a16="http://schemas.microsoft.com/office/drawing/2014/main" id="{A08875A6-E41E-4DBC-29DF-1D59D6C4E75C}"/>
            </a:ext>
          </a:extLst>
        </xdr:cNvPr>
        <xdr:cNvSpPr/>
      </xdr:nvSpPr>
      <xdr:spPr>
        <a:xfrm>
          <a:off x="3817872" y="700598"/>
          <a:ext cx="1377583" cy="810805"/>
        </a:xfrm>
        <a:prstGeom prst="roundRect">
          <a:avLst>
            <a:gd name="adj" fmla="val 1942"/>
          </a:avLst>
        </a:prstGeom>
        <a:solidFill>
          <a:schemeClr val="bg1">
            <a:lumMod val="8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424129</xdr:colOff>
      <xdr:row>11</xdr:row>
      <xdr:rowOff>90523</xdr:rowOff>
    </xdr:from>
    <xdr:to>
      <xdr:col>8</xdr:col>
      <xdr:colOff>362108</xdr:colOff>
      <xdr:row>17</xdr:row>
      <xdr:rowOff>70847</xdr:rowOff>
    </xdr:to>
    <xdr:sp macro="" textlink="">
      <xdr:nvSpPr>
        <xdr:cNvPr id="12" name="Rectangle: Rounded Corners 11">
          <a:extLst>
            <a:ext uri="{FF2B5EF4-FFF2-40B4-BE49-F238E27FC236}">
              <a16:creationId xmlns:a16="http://schemas.microsoft.com/office/drawing/2014/main" id="{7D14CA13-594E-0A3A-6149-C82298D99440}"/>
            </a:ext>
          </a:extLst>
        </xdr:cNvPr>
        <xdr:cNvSpPr/>
      </xdr:nvSpPr>
      <xdr:spPr>
        <a:xfrm>
          <a:off x="1030265" y="2168705"/>
          <a:ext cx="4180934" cy="1113878"/>
        </a:xfrm>
        <a:prstGeom prst="roundRect">
          <a:avLst>
            <a:gd name="adj" fmla="val 9894"/>
          </a:avLst>
        </a:prstGeom>
        <a:solidFill>
          <a:schemeClr val="bg1">
            <a:lumMod val="8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455617</xdr:colOff>
      <xdr:row>8</xdr:row>
      <xdr:rowOff>86590</xdr:rowOff>
    </xdr:from>
    <xdr:to>
      <xdr:col>8</xdr:col>
      <xdr:colOff>330620</xdr:colOff>
      <xdr:row>11</xdr:row>
      <xdr:rowOff>27552</xdr:rowOff>
    </xdr:to>
    <xdr:sp macro="" textlink="">
      <xdr:nvSpPr>
        <xdr:cNvPr id="13" name="Rectangle: Rounded Corners 12">
          <a:extLst>
            <a:ext uri="{FF2B5EF4-FFF2-40B4-BE49-F238E27FC236}">
              <a16:creationId xmlns:a16="http://schemas.microsoft.com/office/drawing/2014/main" id="{149E546F-3374-96A9-4758-69CA01F4C8AD}"/>
            </a:ext>
          </a:extLst>
        </xdr:cNvPr>
        <xdr:cNvSpPr/>
      </xdr:nvSpPr>
      <xdr:spPr>
        <a:xfrm>
          <a:off x="1061753" y="1597995"/>
          <a:ext cx="4117958" cy="507739"/>
        </a:xfrm>
        <a:prstGeom prst="roundRect">
          <a:avLst>
            <a:gd name="adj" fmla="val 0"/>
          </a:avLst>
        </a:prstGeom>
        <a:solidFill>
          <a:schemeClr val="bg1">
            <a:lumMod val="8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17</xdr:row>
      <xdr:rowOff>31487</xdr:rowOff>
    </xdr:from>
    <xdr:to>
      <xdr:col>0</xdr:col>
      <xdr:colOff>7872</xdr:colOff>
      <xdr:row>17</xdr:row>
      <xdr:rowOff>62975</xdr:rowOff>
    </xdr:to>
    <xdr:cxnSp macro="">
      <xdr:nvCxnSpPr>
        <xdr:cNvPr id="16" name="Straight Connector 15">
          <a:extLst>
            <a:ext uri="{FF2B5EF4-FFF2-40B4-BE49-F238E27FC236}">
              <a16:creationId xmlns:a16="http://schemas.microsoft.com/office/drawing/2014/main" id="{97AB9BB1-D43D-95E1-FC09-16AA1BFC8EC0}"/>
            </a:ext>
          </a:extLst>
        </xdr:cNvPr>
        <xdr:cNvCxnSpPr/>
      </xdr:nvCxnSpPr>
      <xdr:spPr>
        <a:xfrm flipH="1">
          <a:off x="0" y="3243223"/>
          <a:ext cx="7872" cy="314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102335</xdr:colOff>
      <xdr:row>17</xdr:row>
      <xdr:rowOff>78719</xdr:rowOff>
    </xdr:from>
    <xdr:to>
      <xdr:col>12</xdr:col>
      <xdr:colOff>70847</xdr:colOff>
      <xdr:row>17</xdr:row>
      <xdr:rowOff>78719</xdr:rowOff>
    </xdr:to>
    <xdr:cxnSp macro="">
      <xdr:nvCxnSpPr>
        <xdr:cNvPr id="19" name="Straight Connector 18">
          <a:extLst>
            <a:ext uri="{FF2B5EF4-FFF2-40B4-BE49-F238E27FC236}">
              <a16:creationId xmlns:a16="http://schemas.microsoft.com/office/drawing/2014/main" id="{649C7C9A-5AD5-A7AB-4C1F-BC7BB782E427}"/>
            </a:ext>
          </a:extLst>
        </xdr:cNvPr>
        <xdr:cNvCxnSpPr/>
      </xdr:nvCxnSpPr>
      <xdr:spPr>
        <a:xfrm>
          <a:off x="102335" y="3290455"/>
          <a:ext cx="7242148"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275516</xdr:colOff>
      <xdr:row>0</xdr:row>
      <xdr:rowOff>62975</xdr:rowOff>
    </xdr:from>
    <xdr:to>
      <xdr:col>8</xdr:col>
      <xdr:colOff>291260</xdr:colOff>
      <xdr:row>0</xdr:row>
      <xdr:rowOff>78719</xdr:rowOff>
    </xdr:to>
    <xdr:cxnSp macro="">
      <xdr:nvCxnSpPr>
        <xdr:cNvPr id="21" name="Straight Connector 20">
          <a:extLst>
            <a:ext uri="{FF2B5EF4-FFF2-40B4-BE49-F238E27FC236}">
              <a16:creationId xmlns:a16="http://schemas.microsoft.com/office/drawing/2014/main" id="{E5C29913-CB70-41CE-79E8-B937AA10623C}"/>
            </a:ext>
          </a:extLst>
        </xdr:cNvPr>
        <xdr:cNvCxnSpPr/>
      </xdr:nvCxnSpPr>
      <xdr:spPr>
        <a:xfrm>
          <a:off x="5124607" y="62975"/>
          <a:ext cx="15744" cy="15744"/>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8</xdr:col>
      <xdr:colOff>425084</xdr:colOff>
      <xdr:row>9</xdr:row>
      <xdr:rowOff>0</xdr:rowOff>
    </xdr:from>
    <xdr:to>
      <xdr:col>14</xdr:col>
      <xdr:colOff>338492</xdr:colOff>
      <xdr:row>17</xdr:row>
      <xdr:rowOff>102334</xdr:rowOff>
    </xdr:to>
    <xdr:sp macro="" textlink="">
      <xdr:nvSpPr>
        <xdr:cNvPr id="26" name="Rectangle: Rounded Corners 25">
          <a:extLst>
            <a:ext uri="{FF2B5EF4-FFF2-40B4-BE49-F238E27FC236}">
              <a16:creationId xmlns:a16="http://schemas.microsoft.com/office/drawing/2014/main" id="{AC774242-BE2A-A116-77F2-A3EF6B301748}"/>
            </a:ext>
          </a:extLst>
        </xdr:cNvPr>
        <xdr:cNvSpPr/>
      </xdr:nvSpPr>
      <xdr:spPr>
        <a:xfrm>
          <a:off x="5318662" y="1730229"/>
          <a:ext cx="3583591" cy="1640316"/>
        </a:xfrm>
        <a:prstGeom prst="roundRect">
          <a:avLst>
            <a:gd name="adj" fmla="val 10999"/>
          </a:avLst>
        </a:prstGeom>
        <a:solidFill>
          <a:schemeClr val="bg1">
            <a:lumMod val="8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0</xdr:colOff>
      <xdr:row>0</xdr:row>
      <xdr:rowOff>0</xdr:rowOff>
    </xdr:from>
    <xdr:to>
      <xdr:col>1</xdr:col>
      <xdr:colOff>244028</xdr:colOff>
      <xdr:row>4</xdr:row>
      <xdr:rowOff>40302</xdr:rowOff>
    </xdr:to>
    <xdr:pic>
      <xdr:nvPicPr>
        <xdr:cNvPr id="30" name="Picture 29">
          <a:extLst>
            <a:ext uri="{FF2B5EF4-FFF2-40B4-BE49-F238E27FC236}">
              <a16:creationId xmlns:a16="http://schemas.microsoft.com/office/drawing/2014/main" id="{37184F9A-0D18-D3C5-32B1-2A9F197CD448}"/>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0" y="0"/>
          <a:ext cx="850164" cy="796004"/>
        </a:xfrm>
        <a:prstGeom prst="rect">
          <a:avLst/>
        </a:prstGeom>
      </xdr:spPr>
    </xdr:pic>
    <xdr:clientData/>
  </xdr:twoCellAnchor>
  <xdr:twoCellAnchor editAs="absolute">
    <xdr:from>
      <xdr:col>0</xdr:col>
      <xdr:colOff>543161</xdr:colOff>
      <xdr:row>1</xdr:row>
      <xdr:rowOff>39359</xdr:rowOff>
    </xdr:from>
    <xdr:to>
      <xdr:col>5</xdr:col>
      <xdr:colOff>39359</xdr:colOff>
      <xdr:row>2</xdr:row>
      <xdr:rowOff>78719</xdr:rowOff>
    </xdr:to>
    <xdr:sp macro="" textlink="">
      <xdr:nvSpPr>
        <xdr:cNvPr id="41" name="TextBox 40">
          <a:extLst>
            <a:ext uri="{FF2B5EF4-FFF2-40B4-BE49-F238E27FC236}">
              <a16:creationId xmlns:a16="http://schemas.microsoft.com/office/drawing/2014/main" id="{E4F06153-0DC0-4B00-7513-2141F64D2E34}"/>
            </a:ext>
          </a:extLst>
        </xdr:cNvPr>
        <xdr:cNvSpPr txBox="1"/>
      </xdr:nvSpPr>
      <xdr:spPr>
        <a:xfrm>
          <a:off x="543161" y="228285"/>
          <a:ext cx="2526880" cy="2282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182880" rtlCol="0" anchor="t">
          <a:noAutofit/>
        </a:bodyPr>
        <a:lstStyle/>
        <a:p>
          <a:r>
            <a:rPr lang="en-US" sz="1100"/>
            <a:t>Hospital Emergency Room Dashboard</a:t>
          </a:r>
        </a:p>
      </xdr:txBody>
    </xdr:sp>
    <xdr:clientData/>
  </xdr:twoCellAnchor>
  <xdr:twoCellAnchor editAs="absolute">
    <xdr:from>
      <xdr:col>1</xdr:col>
      <xdr:colOff>519545</xdr:colOff>
      <xdr:row>2</xdr:row>
      <xdr:rowOff>23616</xdr:rowOff>
    </xdr:from>
    <xdr:to>
      <xdr:col>4</xdr:col>
      <xdr:colOff>291261</xdr:colOff>
      <xdr:row>3</xdr:row>
      <xdr:rowOff>78719</xdr:rowOff>
    </xdr:to>
    <xdr:sp macro="" textlink="">
      <xdr:nvSpPr>
        <xdr:cNvPr id="42" name="TextBox 41">
          <a:extLst>
            <a:ext uri="{FF2B5EF4-FFF2-40B4-BE49-F238E27FC236}">
              <a16:creationId xmlns:a16="http://schemas.microsoft.com/office/drawing/2014/main" id="{0483495E-3EEE-DD34-7E91-8706B16F5A99}"/>
            </a:ext>
          </a:extLst>
        </xdr:cNvPr>
        <xdr:cNvSpPr txBox="1"/>
      </xdr:nvSpPr>
      <xdr:spPr>
        <a:xfrm>
          <a:off x="1125681" y="401467"/>
          <a:ext cx="1590125" cy="2440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182880" rtlCol="0" anchor="t">
          <a:noAutofit/>
        </a:bodyPr>
        <a:lstStyle/>
        <a:p>
          <a:r>
            <a:rPr lang="en-US" sz="1100"/>
            <a:t> Montly</a:t>
          </a:r>
          <a:r>
            <a:rPr lang="en-US" sz="1100" baseline="0"/>
            <a:t> Report</a:t>
          </a:r>
          <a:endParaRPr lang="en-US" sz="1100"/>
        </a:p>
      </xdr:txBody>
    </xdr:sp>
    <xdr:clientData/>
  </xdr:twoCellAnchor>
  <xdr:twoCellAnchor editAs="absolute">
    <xdr:from>
      <xdr:col>1</xdr:col>
      <xdr:colOff>577481</xdr:colOff>
      <xdr:row>5</xdr:row>
      <xdr:rowOff>87385</xdr:rowOff>
    </xdr:from>
    <xdr:to>
      <xdr:col>4</xdr:col>
      <xdr:colOff>349197</xdr:colOff>
      <xdr:row>6</xdr:row>
      <xdr:rowOff>83592</xdr:rowOff>
    </xdr:to>
    <xdr:sp macro="" textlink="">
      <xdr:nvSpPr>
        <xdr:cNvPr id="43" name="TextBox 42">
          <a:extLst>
            <a:ext uri="{FF2B5EF4-FFF2-40B4-BE49-F238E27FC236}">
              <a16:creationId xmlns:a16="http://schemas.microsoft.com/office/drawing/2014/main" id="{32A768D1-B7AB-B179-72C6-7EA4DED44630}"/>
            </a:ext>
          </a:extLst>
        </xdr:cNvPr>
        <xdr:cNvSpPr txBox="1"/>
      </xdr:nvSpPr>
      <xdr:spPr>
        <a:xfrm>
          <a:off x="1189178" y="1048624"/>
          <a:ext cx="1606808" cy="1884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182880" rtlCol="0" anchor="t">
          <a:noAutofit/>
        </a:bodyPr>
        <a:lstStyle/>
        <a:p>
          <a:r>
            <a:rPr lang="en-US" sz="1100"/>
            <a:t>No</a:t>
          </a:r>
          <a:r>
            <a:rPr lang="en-US" sz="1100" baseline="0"/>
            <a:t> of Patient</a:t>
          </a:r>
        </a:p>
        <a:p>
          <a:endParaRPr lang="en-US" sz="1100"/>
        </a:p>
      </xdr:txBody>
    </xdr:sp>
    <xdr:clientData/>
  </xdr:twoCellAnchor>
  <xdr:twoCellAnchor editAs="absolute">
    <xdr:from>
      <xdr:col>1</xdr:col>
      <xdr:colOff>470110</xdr:colOff>
      <xdr:row>4</xdr:row>
      <xdr:rowOff>52900</xdr:rowOff>
    </xdr:from>
    <xdr:to>
      <xdr:col>3</xdr:col>
      <xdr:colOff>480187</xdr:colOff>
      <xdr:row>5</xdr:row>
      <xdr:rowOff>108003</xdr:rowOff>
    </xdr:to>
    <xdr:sp macro="" textlink="'pivot Report'!B4">
      <xdr:nvSpPr>
        <xdr:cNvPr id="45" name="TextBox 44">
          <a:extLst>
            <a:ext uri="{FF2B5EF4-FFF2-40B4-BE49-F238E27FC236}">
              <a16:creationId xmlns:a16="http://schemas.microsoft.com/office/drawing/2014/main" id="{B690D700-7F45-D846-18E7-CAE4EBCDE18B}"/>
            </a:ext>
          </a:extLst>
        </xdr:cNvPr>
        <xdr:cNvSpPr txBox="1"/>
      </xdr:nvSpPr>
      <xdr:spPr>
        <a:xfrm>
          <a:off x="1076246" y="808602"/>
          <a:ext cx="1222350" cy="2440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182880" rtlCol="0" anchor="t">
          <a:noAutofit/>
        </a:bodyPr>
        <a:lstStyle/>
        <a:p>
          <a:r>
            <a:rPr lang="en-US" sz="1100" b="0" i="0" u="none" strike="noStrike">
              <a:solidFill>
                <a:srgbClr val="000000"/>
              </a:solidFill>
              <a:latin typeface="Calibri"/>
              <a:ea typeface="Calibri"/>
              <a:cs typeface="Calibri"/>
            </a:rPr>
            <a:t>      </a:t>
          </a:r>
          <a:fld id="{0E3A0384-B417-4B0D-B1CA-A3B58829704C}" type="TxLink">
            <a:rPr lang="en-US" sz="1100" b="0" i="0" u="none" strike="noStrike">
              <a:solidFill>
                <a:srgbClr val="000000"/>
              </a:solidFill>
              <a:latin typeface="Calibri"/>
              <a:ea typeface="Calibri"/>
              <a:cs typeface="Calibri"/>
            </a:rPr>
            <a:pPr/>
            <a:t>999</a:t>
          </a:fld>
          <a:endParaRPr lang="en-US" sz="1100"/>
        </a:p>
      </xdr:txBody>
    </xdr:sp>
    <xdr:clientData/>
  </xdr:twoCellAnchor>
  <xdr:twoCellAnchor editAs="absolute">
    <xdr:from>
      <xdr:col>4</xdr:col>
      <xdr:colOff>5668</xdr:colOff>
      <xdr:row>4</xdr:row>
      <xdr:rowOff>52900</xdr:rowOff>
    </xdr:from>
    <xdr:to>
      <xdr:col>6</xdr:col>
      <xdr:colOff>15745</xdr:colOff>
      <xdr:row>5</xdr:row>
      <xdr:rowOff>108003</xdr:rowOff>
    </xdr:to>
    <xdr:sp macro="" textlink="'pivot Report'!B10">
      <xdr:nvSpPr>
        <xdr:cNvPr id="49" name="TextBox 48">
          <a:extLst>
            <a:ext uri="{FF2B5EF4-FFF2-40B4-BE49-F238E27FC236}">
              <a16:creationId xmlns:a16="http://schemas.microsoft.com/office/drawing/2014/main" id="{4224116C-3024-F726-D841-51802A380EA0}"/>
            </a:ext>
          </a:extLst>
        </xdr:cNvPr>
        <xdr:cNvSpPr txBox="1"/>
      </xdr:nvSpPr>
      <xdr:spPr>
        <a:xfrm>
          <a:off x="2430213" y="808602"/>
          <a:ext cx="1222350" cy="2440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182880" rtlCol="0" anchor="t">
          <a:noAutofit/>
        </a:bodyPr>
        <a:lstStyle/>
        <a:p>
          <a:r>
            <a:rPr lang="en-US" sz="1100" b="0" i="0" u="none" strike="noStrike">
              <a:solidFill>
                <a:srgbClr val="000000"/>
              </a:solidFill>
              <a:latin typeface="Calibri"/>
              <a:ea typeface="Calibri"/>
              <a:cs typeface="Calibri"/>
            </a:rPr>
            <a:t>       </a:t>
          </a:r>
          <a:fld id="{FBE2DF72-9F93-4B75-8F0D-4B6918353BEC}" type="TxLink">
            <a:rPr lang="en-US" sz="1100" b="0" i="0" u="none" strike="noStrike">
              <a:solidFill>
                <a:srgbClr val="000000"/>
              </a:solidFill>
              <a:latin typeface="Calibri"/>
              <a:ea typeface="Calibri"/>
              <a:cs typeface="Calibri"/>
            </a:rPr>
            <a:pPr/>
            <a:t>35.15</a:t>
          </a:fld>
          <a:endParaRPr lang="en-US" sz="1100"/>
        </a:p>
      </xdr:txBody>
    </xdr:sp>
    <xdr:clientData/>
  </xdr:twoCellAnchor>
  <xdr:twoCellAnchor editAs="absolute">
    <xdr:from>
      <xdr:col>6</xdr:col>
      <xdr:colOff>226082</xdr:colOff>
      <xdr:row>4</xdr:row>
      <xdr:rowOff>13540</xdr:rowOff>
    </xdr:from>
    <xdr:to>
      <xdr:col>8</xdr:col>
      <xdr:colOff>236159</xdr:colOff>
      <xdr:row>5</xdr:row>
      <xdr:rowOff>68643</xdr:rowOff>
    </xdr:to>
    <xdr:sp macro="" textlink="'pivot Report'!B14">
      <xdr:nvSpPr>
        <xdr:cNvPr id="50" name="TextBox 49">
          <a:extLst>
            <a:ext uri="{FF2B5EF4-FFF2-40B4-BE49-F238E27FC236}">
              <a16:creationId xmlns:a16="http://schemas.microsoft.com/office/drawing/2014/main" id="{753E7E51-E69A-3933-6B2C-43F808C9C393}"/>
            </a:ext>
          </a:extLst>
        </xdr:cNvPr>
        <xdr:cNvSpPr txBox="1"/>
      </xdr:nvSpPr>
      <xdr:spPr>
        <a:xfrm>
          <a:off x="3862900" y="769242"/>
          <a:ext cx="1222350" cy="2440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182880" rtlCol="0" anchor="t">
          <a:noAutofit/>
        </a:bodyPr>
        <a:lstStyle/>
        <a:p>
          <a:r>
            <a:rPr lang="en-US" sz="1100" b="0" i="0" u="none" strike="noStrike">
              <a:solidFill>
                <a:srgbClr val="000000"/>
              </a:solidFill>
              <a:latin typeface="Calibri"/>
              <a:ea typeface="Calibri"/>
              <a:cs typeface="Calibri"/>
            </a:rPr>
            <a:t>         </a:t>
          </a:r>
          <a:fld id="{C4855B90-463C-487D-BC49-709A73A9094A}" type="TxLink">
            <a:rPr lang="en-US" sz="1100" b="0" i="0" u="none" strike="noStrike">
              <a:solidFill>
                <a:srgbClr val="000000"/>
              </a:solidFill>
              <a:latin typeface="Calibri"/>
              <a:ea typeface="Calibri"/>
              <a:cs typeface="Calibri"/>
            </a:rPr>
            <a:pPr/>
            <a:t>5.15</a:t>
          </a:fld>
          <a:endParaRPr lang="en-US" sz="1100"/>
        </a:p>
      </xdr:txBody>
    </xdr:sp>
    <xdr:clientData/>
  </xdr:twoCellAnchor>
  <xdr:twoCellAnchor editAs="absolute">
    <xdr:from>
      <xdr:col>3</xdr:col>
      <xdr:colOff>601097</xdr:colOff>
      <xdr:row>5</xdr:row>
      <xdr:rowOff>70847</xdr:rowOff>
    </xdr:from>
    <xdr:to>
      <xdr:col>6</xdr:col>
      <xdr:colOff>118079</xdr:colOff>
      <xdr:row>6</xdr:row>
      <xdr:rowOff>102334</xdr:rowOff>
    </xdr:to>
    <xdr:sp macro="" textlink="">
      <xdr:nvSpPr>
        <xdr:cNvPr id="51" name="TextBox 50">
          <a:extLst>
            <a:ext uri="{FF2B5EF4-FFF2-40B4-BE49-F238E27FC236}">
              <a16:creationId xmlns:a16="http://schemas.microsoft.com/office/drawing/2014/main" id="{847B9D3B-0311-296E-FE16-AA3C6CE2AB8B}"/>
            </a:ext>
          </a:extLst>
        </xdr:cNvPr>
        <xdr:cNvSpPr txBox="1"/>
      </xdr:nvSpPr>
      <xdr:spPr>
        <a:xfrm>
          <a:off x="2419506" y="1015475"/>
          <a:ext cx="1335391" cy="2204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91440" rtlCol="0" anchor="t">
          <a:noAutofit/>
        </a:bodyPr>
        <a:lstStyle/>
        <a:p>
          <a:r>
            <a:rPr lang="en-US" sz="1100" baseline="0"/>
            <a:t>Average Wait  Time</a:t>
          </a:r>
        </a:p>
        <a:p>
          <a:endParaRPr lang="en-US" sz="1100"/>
        </a:p>
      </xdr:txBody>
    </xdr:sp>
    <xdr:clientData/>
  </xdr:twoCellAnchor>
  <xdr:twoCellAnchor editAs="absolute">
    <xdr:from>
      <xdr:col>6</xdr:col>
      <xdr:colOff>160271</xdr:colOff>
      <xdr:row>5</xdr:row>
      <xdr:rowOff>34321</xdr:rowOff>
    </xdr:from>
    <xdr:to>
      <xdr:col>8</xdr:col>
      <xdr:colOff>228286</xdr:colOff>
      <xdr:row>6</xdr:row>
      <xdr:rowOff>89424</xdr:rowOff>
    </xdr:to>
    <xdr:sp macro="" textlink="">
      <xdr:nvSpPr>
        <xdr:cNvPr id="53" name="TextBox 52">
          <a:extLst>
            <a:ext uri="{FF2B5EF4-FFF2-40B4-BE49-F238E27FC236}">
              <a16:creationId xmlns:a16="http://schemas.microsoft.com/office/drawing/2014/main" id="{02190DFE-F825-A99C-616B-EE762FB0550D}"/>
            </a:ext>
          </a:extLst>
        </xdr:cNvPr>
        <xdr:cNvSpPr txBox="1"/>
      </xdr:nvSpPr>
      <xdr:spPr>
        <a:xfrm>
          <a:off x="3797089" y="978949"/>
          <a:ext cx="1280288" cy="2440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182880" rtlCol="0" anchor="t">
          <a:noAutofit/>
        </a:bodyPr>
        <a:lstStyle/>
        <a:p>
          <a:r>
            <a:rPr lang="en-US" sz="1100" baseline="0"/>
            <a:t>Satisfaction Score</a:t>
          </a:r>
        </a:p>
        <a:p>
          <a:endParaRPr lang="en-US" sz="1100"/>
        </a:p>
      </xdr:txBody>
    </xdr:sp>
    <xdr:clientData/>
  </xdr:twoCellAnchor>
  <xdr:twoCellAnchor editAs="oneCell">
    <xdr:from>
      <xdr:col>3</xdr:col>
      <xdr:colOff>220414</xdr:colOff>
      <xdr:row>3</xdr:row>
      <xdr:rowOff>142953</xdr:rowOff>
    </xdr:from>
    <xdr:to>
      <xdr:col>3</xdr:col>
      <xdr:colOff>549776</xdr:colOff>
      <xdr:row>5</xdr:row>
      <xdr:rowOff>94464</xdr:rowOff>
    </xdr:to>
    <xdr:pic>
      <xdr:nvPicPr>
        <xdr:cNvPr id="56" name="Graphic 55" descr="Male profile with solid fill">
          <a:extLst>
            <a:ext uri="{FF2B5EF4-FFF2-40B4-BE49-F238E27FC236}">
              <a16:creationId xmlns:a16="http://schemas.microsoft.com/office/drawing/2014/main" id="{9A1B319C-BFD2-2779-5F4F-3C086632405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038823" y="709730"/>
          <a:ext cx="329362" cy="329362"/>
        </a:xfrm>
        <a:prstGeom prst="rect">
          <a:avLst/>
        </a:prstGeom>
      </xdr:spPr>
    </xdr:pic>
    <xdr:clientData/>
  </xdr:twoCellAnchor>
  <xdr:twoCellAnchor editAs="oneCell">
    <xdr:from>
      <xdr:col>8</xdr:col>
      <xdr:colOff>23615</xdr:colOff>
      <xdr:row>3</xdr:row>
      <xdr:rowOff>173183</xdr:rowOff>
    </xdr:from>
    <xdr:to>
      <xdr:col>8</xdr:col>
      <xdr:colOff>299131</xdr:colOff>
      <xdr:row>5</xdr:row>
      <xdr:rowOff>70848</xdr:rowOff>
    </xdr:to>
    <xdr:pic>
      <xdr:nvPicPr>
        <xdr:cNvPr id="58" name="Graphic 57" descr="Customer review with solid fill">
          <a:extLst>
            <a:ext uri="{FF2B5EF4-FFF2-40B4-BE49-F238E27FC236}">
              <a16:creationId xmlns:a16="http://schemas.microsoft.com/office/drawing/2014/main" id="{B90BB0CB-DD45-AD68-34F4-7737A6210F6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872706" y="739960"/>
          <a:ext cx="275516" cy="275516"/>
        </a:xfrm>
        <a:prstGeom prst="rect">
          <a:avLst/>
        </a:prstGeom>
      </xdr:spPr>
    </xdr:pic>
    <xdr:clientData/>
  </xdr:twoCellAnchor>
  <xdr:twoCellAnchor editAs="oneCell">
    <xdr:from>
      <xdr:col>5</xdr:col>
      <xdr:colOff>488060</xdr:colOff>
      <xdr:row>4</xdr:row>
      <xdr:rowOff>1258</xdr:rowOff>
    </xdr:from>
    <xdr:to>
      <xdr:col>6</xdr:col>
      <xdr:colOff>125952</xdr:colOff>
      <xdr:row>5</xdr:row>
      <xdr:rowOff>56360</xdr:rowOff>
    </xdr:to>
    <xdr:pic>
      <xdr:nvPicPr>
        <xdr:cNvPr id="60" name="Graphic 59" descr="Hourglass Finished with solid fill">
          <a:extLst>
            <a:ext uri="{FF2B5EF4-FFF2-40B4-BE49-F238E27FC236}">
              <a16:creationId xmlns:a16="http://schemas.microsoft.com/office/drawing/2014/main" id="{754CB91A-F4D0-BAD3-7BB8-67114A90AEF7}"/>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518742" y="756960"/>
          <a:ext cx="244028" cy="244028"/>
        </a:xfrm>
        <a:prstGeom prst="rect">
          <a:avLst/>
        </a:prstGeom>
      </xdr:spPr>
    </xdr:pic>
    <xdr:clientData/>
  </xdr:twoCellAnchor>
  <xdr:twoCellAnchor editAs="oneCell">
    <xdr:from>
      <xdr:col>0</xdr:col>
      <xdr:colOff>23616</xdr:colOff>
      <xdr:row>3</xdr:row>
      <xdr:rowOff>188925</xdr:rowOff>
    </xdr:from>
    <xdr:to>
      <xdr:col>1</xdr:col>
      <xdr:colOff>409339</xdr:colOff>
      <xdr:row>17</xdr:row>
      <xdr:rowOff>62975</xdr:rowOff>
    </xdr:to>
    <mc:AlternateContent xmlns:mc="http://schemas.openxmlformats.org/markup-compatibility/2006" xmlns:a14="http://schemas.microsoft.com/office/drawing/2010/main">
      <mc:Choice Requires="a14">
        <xdr:graphicFrame macro="">
          <xdr:nvGraphicFramePr>
            <xdr:cNvPr id="61" name="Date (Month) 1">
              <a:extLst>
                <a:ext uri="{FF2B5EF4-FFF2-40B4-BE49-F238E27FC236}">
                  <a16:creationId xmlns:a16="http://schemas.microsoft.com/office/drawing/2014/main" id="{CFF5D761-ED05-4253-AFBD-5FBC7F7D8494}"/>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23616" y="755702"/>
              <a:ext cx="991859" cy="25190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409339</xdr:colOff>
      <xdr:row>4</xdr:row>
      <xdr:rowOff>181054</xdr:rowOff>
    </xdr:from>
    <xdr:to>
      <xdr:col>3</xdr:col>
      <xdr:colOff>519545</xdr:colOff>
      <xdr:row>8</xdr:row>
      <xdr:rowOff>0</xdr:rowOff>
    </xdr:to>
    <xdr:graphicFrame macro="">
      <xdr:nvGraphicFramePr>
        <xdr:cNvPr id="62" name="Chart 61">
          <a:hlinkClick xmlns:r="http://schemas.openxmlformats.org/officeDocument/2006/relationships" r:id="rId9"/>
          <a:extLst>
            <a:ext uri="{FF2B5EF4-FFF2-40B4-BE49-F238E27FC236}">
              <a16:creationId xmlns:a16="http://schemas.microsoft.com/office/drawing/2014/main" id="{2EC07FD9-02DF-4A60-9726-86ED65A716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551033</xdr:colOff>
      <xdr:row>6</xdr:row>
      <xdr:rowOff>133821</xdr:rowOff>
    </xdr:from>
    <xdr:to>
      <xdr:col>6</xdr:col>
      <xdr:colOff>149565</xdr:colOff>
      <xdr:row>8</xdr:row>
      <xdr:rowOff>23615</xdr:rowOff>
    </xdr:to>
    <xdr:graphicFrame macro="">
      <xdr:nvGraphicFramePr>
        <xdr:cNvPr id="63" name="Chart 62">
          <a:hlinkClick xmlns:r="http://schemas.openxmlformats.org/officeDocument/2006/relationships" r:id="rId11"/>
          <a:extLst>
            <a:ext uri="{FF2B5EF4-FFF2-40B4-BE49-F238E27FC236}">
              <a16:creationId xmlns:a16="http://schemas.microsoft.com/office/drawing/2014/main" id="{DAED2DA3-40AE-4593-8D42-6903A298B4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165310</xdr:colOff>
      <xdr:row>6</xdr:row>
      <xdr:rowOff>15744</xdr:rowOff>
    </xdr:from>
    <xdr:to>
      <xdr:col>8</xdr:col>
      <xdr:colOff>346364</xdr:colOff>
      <xdr:row>8</xdr:row>
      <xdr:rowOff>15744</xdr:rowOff>
    </xdr:to>
    <xdr:graphicFrame macro="">
      <xdr:nvGraphicFramePr>
        <xdr:cNvPr id="69" name="Chart 68">
          <a:hlinkClick xmlns:r="http://schemas.openxmlformats.org/officeDocument/2006/relationships" r:id="rId13"/>
          <a:extLst>
            <a:ext uri="{FF2B5EF4-FFF2-40B4-BE49-F238E27FC236}">
              <a16:creationId xmlns:a16="http://schemas.microsoft.com/office/drawing/2014/main" id="{D31054CC-91F8-437D-8DB1-D53384D62A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445666</xdr:colOff>
          <xdr:row>8</xdr:row>
          <xdr:rowOff>78647</xdr:rowOff>
        </xdr:from>
        <xdr:to>
          <xdr:col>8</xdr:col>
          <xdr:colOff>358280</xdr:colOff>
          <xdr:row>11</xdr:row>
          <xdr:rowOff>26216</xdr:rowOff>
        </xdr:to>
        <xdr:pic>
          <xdr:nvPicPr>
            <xdr:cNvPr id="23" name="Picture 22">
              <a:extLst>
                <a:ext uri="{FF2B5EF4-FFF2-40B4-BE49-F238E27FC236}">
                  <a16:creationId xmlns:a16="http://schemas.microsoft.com/office/drawing/2014/main" id="{8468A78B-C6FC-1B3E-9836-668F8917B125}"/>
                </a:ext>
              </a:extLst>
            </xdr:cNvPr>
            <xdr:cNvPicPr>
              <a:picLocks noChangeAspect="1" noChangeArrowheads="1"/>
              <a:extLst>
                <a:ext uri="{84589F7E-364E-4C9E-8A38-B11213B215E9}">
                  <a14:cameraTool cellRange="'pivot Report'!$A$47:$D$49" spid="_x0000_s1043"/>
                </a:ext>
              </a:extLst>
            </xdr:cNvPicPr>
          </xdr:nvPicPr>
          <xdr:blipFill>
            <a:blip xmlns:r="http://schemas.openxmlformats.org/officeDocument/2006/relationships" r:embed="rId15"/>
            <a:srcRect/>
            <a:stretch>
              <a:fillRect/>
            </a:stretch>
          </xdr:blipFill>
          <xdr:spPr bwMode="auto">
            <a:xfrm>
              <a:off x="1057363" y="1616629"/>
              <a:ext cx="4194495" cy="524312"/>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xdr:col>
      <xdr:colOff>419450</xdr:colOff>
      <xdr:row>11</xdr:row>
      <xdr:rowOff>78648</xdr:rowOff>
    </xdr:from>
    <xdr:to>
      <xdr:col>8</xdr:col>
      <xdr:colOff>358280</xdr:colOff>
      <xdr:row>17</xdr:row>
      <xdr:rowOff>78648</xdr:rowOff>
    </xdr:to>
    <xdr:graphicFrame macro="">
      <xdr:nvGraphicFramePr>
        <xdr:cNvPr id="24" name="Chart 23">
          <a:extLst>
            <a:ext uri="{FF2B5EF4-FFF2-40B4-BE49-F238E27FC236}">
              <a16:creationId xmlns:a16="http://schemas.microsoft.com/office/drawing/2014/main" id="{F32E5AE7-D924-42FC-8929-85AF829469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8</xdr:col>
      <xdr:colOff>410711</xdr:colOff>
      <xdr:row>0</xdr:row>
      <xdr:rowOff>43693</xdr:rowOff>
    </xdr:from>
    <xdr:to>
      <xdr:col>11</xdr:col>
      <xdr:colOff>297110</xdr:colOff>
      <xdr:row>8</xdr:row>
      <xdr:rowOff>157293</xdr:rowOff>
    </xdr:to>
    <xdr:graphicFrame macro="">
      <xdr:nvGraphicFramePr>
        <xdr:cNvPr id="29" name="Chart 28">
          <a:extLst>
            <a:ext uri="{FF2B5EF4-FFF2-40B4-BE49-F238E27FC236}">
              <a16:creationId xmlns:a16="http://schemas.microsoft.com/office/drawing/2014/main" id="{4B3EBDC6-D0F7-44FF-9BF8-41A05DE7BB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8</xdr:col>
      <xdr:colOff>428188</xdr:colOff>
      <xdr:row>7</xdr:row>
      <xdr:rowOff>34954</xdr:rowOff>
    </xdr:from>
    <xdr:to>
      <xdr:col>11</xdr:col>
      <xdr:colOff>174770</xdr:colOff>
      <xdr:row>8</xdr:row>
      <xdr:rowOff>104862</xdr:rowOff>
    </xdr:to>
    <xdr:sp macro="" textlink="">
      <xdr:nvSpPr>
        <xdr:cNvPr id="31" name="TextBox 30">
          <a:extLst>
            <a:ext uri="{FF2B5EF4-FFF2-40B4-BE49-F238E27FC236}">
              <a16:creationId xmlns:a16="http://schemas.microsoft.com/office/drawing/2014/main" id="{44E5BD29-D1F2-51DA-69B2-C07B74C8A75C}"/>
            </a:ext>
          </a:extLst>
        </xdr:cNvPr>
        <xdr:cNvSpPr txBox="1"/>
      </xdr:nvSpPr>
      <xdr:spPr>
        <a:xfrm>
          <a:off x="5321766" y="1380688"/>
          <a:ext cx="1581674" cy="2621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182880" rtlCol="0" anchor="t">
          <a:noAutofit/>
        </a:bodyPr>
        <a:lstStyle/>
        <a:p>
          <a:r>
            <a:rPr lang="en-US" sz="1100" baseline="0"/>
            <a:t>Patient Attend Status</a:t>
          </a:r>
        </a:p>
        <a:p>
          <a:endParaRPr lang="en-US" sz="1100"/>
        </a:p>
      </xdr:txBody>
    </xdr:sp>
    <xdr:clientData/>
  </xdr:twoCellAnchor>
  <xdr:twoCellAnchor>
    <xdr:from>
      <xdr:col>11</xdr:col>
      <xdr:colOff>410712</xdr:colOff>
      <xdr:row>0</xdr:row>
      <xdr:rowOff>52430</xdr:rowOff>
    </xdr:from>
    <xdr:to>
      <xdr:col>14</xdr:col>
      <xdr:colOff>297111</xdr:colOff>
      <xdr:row>8</xdr:row>
      <xdr:rowOff>166031</xdr:rowOff>
    </xdr:to>
    <xdr:graphicFrame macro="">
      <xdr:nvGraphicFramePr>
        <xdr:cNvPr id="33" name="Chart 32">
          <a:extLst>
            <a:ext uri="{FF2B5EF4-FFF2-40B4-BE49-F238E27FC236}">
              <a16:creationId xmlns:a16="http://schemas.microsoft.com/office/drawing/2014/main" id="{F06A2D39-7956-49AA-805C-AFEAF82E4C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absolute">
    <xdr:from>
      <xdr:col>11</xdr:col>
      <xdr:colOff>480619</xdr:colOff>
      <xdr:row>7</xdr:row>
      <xdr:rowOff>61170</xdr:rowOff>
    </xdr:from>
    <xdr:to>
      <xdr:col>14</xdr:col>
      <xdr:colOff>227202</xdr:colOff>
      <xdr:row>8</xdr:row>
      <xdr:rowOff>131078</xdr:rowOff>
    </xdr:to>
    <xdr:sp macro="" textlink="">
      <xdr:nvSpPr>
        <xdr:cNvPr id="34" name="TextBox 33">
          <a:extLst>
            <a:ext uri="{FF2B5EF4-FFF2-40B4-BE49-F238E27FC236}">
              <a16:creationId xmlns:a16="http://schemas.microsoft.com/office/drawing/2014/main" id="{0208577B-67E2-0AE3-D14B-DAA81B2DFEF3}"/>
            </a:ext>
          </a:extLst>
        </xdr:cNvPr>
        <xdr:cNvSpPr txBox="1"/>
      </xdr:nvSpPr>
      <xdr:spPr>
        <a:xfrm>
          <a:off x="7209289" y="1406904"/>
          <a:ext cx="1581674" cy="2621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182880" rtlCol="0" anchor="t">
          <a:noAutofit/>
        </a:bodyPr>
        <a:lstStyle/>
        <a:p>
          <a:r>
            <a:rPr lang="en-US" sz="1100" baseline="0"/>
            <a:t>Gender wise Analysis</a:t>
          </a:r>
        </a:p>
        <a:p>
          <a:endParaRPr lang="en-US" sz="1100"/>
        </a:p>
      </xdr:txBody>
    </xdr:sp>
    <xdr:clientData/>
  </xdr:twoCellAnchor>
  <xdr:twoCellAnchor>
    <xdr:from>
      <xdr:col>8</xdr:col>
      <xdr:colOff>428188</xdr:colOff>
      <xdr:row>9</xdr:row>
      <xdr:rowOff>0</xdr:rowOff>
    </xdr:from>
    <xdr:to>
      <xdr:col>14</xdr:col>
      <xdr:colOff>384497</xdr:colOff>
      <xdr:row>17</xdr:row>
      <xdr:rowOff>113601</xdr:rowOff>
    </xdr:to>
    <xdr:graphicFrame macro="">
      <xdr:nvGraphicFramePr>
        <xdr:cNvPr id="36" name="Chart 35">
          <a:extLst>
            <a:ext uri="{FF2B5EF4-FFF2-40B4-BE49-F238E27FC236}">
              <a16:creationId xmlns:a16="http://schemas.microsoft.com/office/drawing/2014/main" id="{18AA0EF4-04D0-49F6-908D-F152EC7F64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absolute">
    <xdr:from>
      <xdr:col>9</xdr:col>
      <xdr:colOff>454403</xdr:colOff>
      <xdr:row>16</xdr:row>
      <xdr:rowOff>43693</xdr:rowOff>
    </xdr:from>
    <xdr:to>
      <xdr:col>13</xdr:col>
      <xdr:colOff>419449</xdr:colOff>
      <xdr:row>17</xdr:row>
      <xdr:rowOff>69908</xdr:rowOff>
    </xdr:to>
    <xdr:sp macro="" textlink="">
      <xdr:nvSpPr>
        <xdr:cNvPr id="37" name="TextBox 36">
          <a:extLst>
            <a:ext uri="{FF2B5EF4-FFF2-40B4-BE49-F238E27FC236}">
              <a16:creationId xmlns:a16="http://schemas.microsoft.com/office/drawing/2014/main" id="{7C8FA977-0EBF-7AD5-4A30-6708E8283E53}"/>
            </a:ext>
          </a:extLst>
        </xdr:cNvPr>
        <xdr:cNvSpPr txBox="1"/>
      </xdr:nvSpPr>
      <xdr:spPr>
        <a:xfrm>
          <a:off x="5959678" y="3119656"/>
          <a:ext cx="2411835" cy="2184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182880" rtlCol="0" anchor="t">
          <a:noAutofit/>
        </a:bodyPr>
        <a:lstStyle/>
        <a:p>
          <a:r>
            <a:rPr lang="en-US" sz="1100" baseline="0"/>
            <a:t>No of Patient by Department  Referal</a:t>
          </a:r>
        </a:p>
        <a:p>
          <a:endParaRPr lang="en-US" sz="1100"/>
        </a:p>
      </xdr:txBody>
    </xdr:sp>
    <xdr:clientData/>
  </xdr:twoCellAnchor>
  <xdr:twoCellAnchor editAs="oneCell">
    <xdr:from>
      <xdr:col>5</xdr:col>
      <xdr:colOff>231968</xdr:colOff>
      <xdr:row>0</xdr:row>
      <xdr:rowOff>43694</xdr:rowOff>
    </xdr:from>
    <xdr:to>
      <xdr:col>8</xdr:col>
      <xdr:colOff>288372</xdr:colOff>
      <xdr:row>3</xdr:row>
      <xdr:rowOff>104863</xdr:rowOff>
    </xdr:to>
    <mc:AlternateContent xmlns:mc="http://schemas.openxmlformats.org/markup-compatibility/2006" xmlns:a14="http://schemas.microsoft.com/office/drawing/2010/main">
      <mc:Choice Requires="a14">
        <xdr:graphicFrame macro="">
          <xdr:nvGraphicFramePr>
            <xdr:cNvPr id="39" name="Date (Year) 1">
              <a:extLst>
                <a:ext uri="{FF2B5EF4-FFF2-40B4-BE49-F238E27FC236}">
                  <a16:creationId xmlns:a16="http://schemas.microsoft.com/office/drawing/2014/main" id="{2E750338-D8E7-458E-A7B9-AFEFFB553DD1}"/>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mlns="">
        <xdr:sp macro="" textlink="">
          <xdr:nvSpPr>
            <xdr:cNvPr id="0" name=""/>
            <xdr:cNvSpPr>
              <a:spLocks noTextEdit="1"/>
            </xdr:cNvSpPr>
          </xdr:nvSpPr>
          <xdr:spPr>
            <a:xfrm>
              <a:off x="3290454" y="43694"/>
              <a:ext cx="1891496" cy="6379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428624</xdr:colOff>
      <xdr:row>2</xdr:row>
      <xdr:rowOff>180975</xdr:rowOff>
    </xdr:from>
    <xdr:to>
      <xdr:col>15</xdr:col>
      <xdr:colOff>114299</xdr:colOff>
      <xdr:row>18</xdr:row>
      <xdr:rowOff>9525</xdr:rowOff>
    </xdr:to>
    <xdr:graphicFrame macro="">
      <xdr:nvGraphicFramePr>
        <xdr:cNvPr id="3" name="Chart 2">
          <a:extLst>
            <a:ext uri="{FF2B5EF4-FFF2-40B4-BE49-F238E27FC236}">
              <a16:creationId xmlns:a16="http://schemas.microsoft.com/office/drawing/2014/main" id="{A6045E55-46E2-400D-96D8-4F0E0DD236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cdr:x>
      <cdr:y>0</cdr:y>
    </cdr:from>
    <cdr:to>
      <cdr:x>0.04881</cdr:x>
      <cdr:y>0.12914</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C0F3A540-04F9-947C-03B0-19AA24B8C328}"/>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371476" cy="371476"/>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94.609214930555" createdVersion="5" refreshedVersion="8" minRefreshableVersion="3" recordCount="0" supportSubquery="1" supportAdvancedDrill="1" xr:uid="{1305BDFE-9F74-4DA7-A3C8-7C96E5DC1272}">
  <cacheSource type="external" connectionId="3"/>
  <cacheFields count="4">
    <cacheField name="[Measures].[Distinct Count of Patient Id]" caption="Distinct Count of Patient Id" numFmtId="0" hierarchy="24" level="32767"/>
    <cacheField name="[calendar table].[Date (Day)].[Date (Day)]" caption="Date (Day)" numFmtId="0" hierarchy="2" level="1">
      <sharedItems count="29">
        <s v="1-Feb"/>
        <s v="2-Feb"/>
        <s v="3-Feb"/>
        <s v="4-Feb"/>
        <s v="5-Feb"/>
        <s v="6-Feb"/>
        <s v="7-Feb"/>
        <s v="8-Feb"/>
        <s v="9-Feb"/>
        <s v="10-Feb"/>
        <s v="11-Feb"/>
        <s v="12-Feb"/>
        <s v="13-Feb"/>
        <s v="14-Feb"/>
        <s v="15-Feb"/>
        <s v="16-Feb"/>
        <s v="17-Feb"/>
        <s v="18-Feb"/>
        <s v="19-Feb"/>
        <s v="20-Feb"/>
        <s v="21-Feb"/>
        <s v="22-Feb"/>
        <s v="23-Feb"/>
        <s v="24-Feb"/>
        <s v="25-Feb"/>
        <s v="26-Feb"/>
        <s v="27-Feb"/>
        <s v="28-Feb"/>
        <s v="29-Feb"/>
      </sharedItems>
    </cacheField>
    <cacheField name="[calendar table].[Date (Month)].[Date (Month)]" caption="Date (Month)" numFmtId="0" hierarchy="1" level="1">
      <sharedItems containsSemiMixedTypes="0" containsNonDate="0" containsString="0"/>
    </cacheField>
    <cacheField name="[calendar table].[Date (Year)].[Date (Year)]" caption="Date (Year)" numFmtId="0" hierarchy="3" level="1">
      <sharedItems containsSemiMixedTypes="0" containsNonDate="0" containsString="0"/>
    </cacheField>
  </cacheFields>
  <cacheHierarchies count="34">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2"/>
      </fieldsUsage>
    </cacheHierarchy>
    <cacheHierarchy uniqueName="[calendar table].[Date (Day)]" caption="Date (Day)" attribute="1" defaultMemberUniqueName="[calendar table].[Date (Day)].[All]" allUniqueName="[calendar table].[Date (Day)].[All]" dimensionUniqueName="[calendar table]" displayFolder="" count="2" memberValueDatatype="130" unbalanced="0">
      <fieldsUsage count="2">
        <fieldUsage x="-1"/>
        <fieldUsage x="1"/>
      </fieldsUsage>
    </cacheHierarchy>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Sheet].[Patient Id]" caption="Patient Id" attribute="1" defaultMemberUniqueName="[Sheet].[Patient Id].[All]" allUniqueName="[Sheet].[Patient Id].[All]" dimensionUniqueName="[Sheet]" displayFolder="" count="0" memberValueDatatype="130" unbalanced="0"/>
    <cacheHierarchy uniqueName="[Sheet].[Patient Admission Date]" caption="Patient Admission Date" attribute="1" time="1" defaultMemberUniqueName="[Sheet].[Patient Admission Date].[All]" allUniqueName="[Sheet].[Patient Admission Date].[All]" dimensionUniqueName="[Sheet]" displayFolder="" count="0" memberValueDatatype="7" unbalanced="0"/>
    <cacheHierarchy uniqueName="[Sheet].[Patient Admission Time]" caption="Patient Admission Time" attribute="1" time="1" defaultMemberUniqueName="[Sheet].[Patient Admission Time].[All]" allUniqueName="[Sheet].[Patient Admission Time].[All]" dimensionUniqueName="[Sheet]" displayFolder="" count="0" memberValueDatatype="7" unbalanced="0"/>
    <cacheHierarchy uniqueName="[Sheet].[Merged]" caption="Merged" attribute="1" defaultMemberUniqueName="[Sheet].[Merged].[All]" allUniqueName="[Sheet].[Merged].[All]" dimensionUniqueName="[Sheet]" displayFolder="" count="0" memberValueDatatype="130" unbalanced="0"/>
    <cacheHierarchy uniqueName="[Sheet].[Patient Gender]" caption="Patient Gender" attribute="1" defaultMemberUniqueName="[Sheet].[Patient Gender].[All]" allUniqueName="[Sheet].[Patient Gender].[All]" dimensionUniqueName="[Sheet]" displayFolder="" count="0" memberValueDatatype="130" unbalanced="0"/>
    <cacheHierarchy uniqueName="[Sheet].[Patient Age]" caption="Patient Age" attribute="1" defaultMemberUniqueName="[Sheet].[Patient Age].[All]" allUniqueName="[Sheet].[Patient Age].[All]" dimensionUniqueName="[Sheet]" displayFolder="" count="0" memberValueDatatype="20" unbalanced="0"/>
    <cacheHierarchy uniqueName="[Sheet].[Patient Race]" caption="Patient Race" attribute="1" defaultMemberUniqueName="[Sheet].[Patient Race].[All]" allUniqueName="[Sheet].[Patient Race].[All]" dimensionUniqueName="[Sheet]" displayFolder="" count="0" memberValueDatatype="130" unbalanced="0"/>
    <cacheHierarchy uniqueName="[Sheet].[Department Referral]" caption="Department Referral" attribute="1" defaultMemberUniqueName="[Sheet].[Department Referral].[All]" allUniqueName="[Sheet].[Department Referral].[All]" dimensionUniqueName="[Sheet]" displayFolder="" count="0" memberValueDatatype="130" unbalanced="0"/>
    <cacheHierarchy uniqueName="[Sheet].[Patient Admission Flag]" caption="Patient Admission Flag" attribute="1" defaultMemberUniqueName="[Sheet].[Patient Admission Flag].[All]" allUniqueName="[Sheet].[Patient Admission Flag].[All]" dimensionUniqueName="[Sheet]" displayFolder="" count="0" memberValueDatatype="130" unbalanced="0"/>
    <cacheHierarchy uniqueName="[Sheet].[Patient Satisfaction Score]" caption="Patient Satisfaction Score" attribute="1" defaultMemberUniqueName="[Sheet].[Patient Satisfaction Score].[All]" allUniqueName="[Sheet].[Patient Satisfaction Score].[All]" dimensionUniqueName="[Sheet]" displayFolder="" count="0" memberValueDatatype="20" unbalanced="0"/>
    <cacheHierarchy uniqueName="[Sheet].[Patient Waittime]" caption="Patient Waittime" attribute="1" defaultMemberUniqueName="[Sheet].[Patient Waittime].[All]" allUniqueName="[Sheet].[Patient Waittime].[All]" dimensionUniqueName="[Sheet]" displayFolder="" count="0" memberValueDatatype="20" unbalanced="0"/>
    <cacheHierarchy uniqueName="[Sheet].[Age group]" caption="Age group" attribute="1" defaultMemberUniqueName="[Sheet].[Age group].[All]" allUniqueName="[Sheet].[Age group].[All]" dimensionUniqueName="[Sheet]" displayFolder="" count="0" memberValueDatatype="130" unbalanced="0"/>
    <cacheHierarchy uniqueName="[Sheet].[patient attain status]" caption="patient attain status" attribute="1" defaultMemberUniqueName="[Sheet].[patient attain status].[All]" allUniqueName="[Sheet].[patient attain status].[All]" dimensionUniqueName="[Sheet]"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Sheet]" caption="__XL_Count Sheet" measure="1" displayFolder="" measureGroup="Sheet"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Sheet"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Sheet"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Sheet"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Sheet"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Sheet"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Sheet" count="0" hidden="1">
      <extLst>
        <ext xmlns:x15="http://schemas.microsoft.com/office/spreadsheetml/2010/11/main" uri="{B97F6D7D-B522-45F9-BDA1-12C45D357490}">
          <x15:cacheHierarchy aggregatedColumn="14"/>
        </ext>
      </extLst>
    </cacheHierarchy>
    <cacheHierarchy uniqueName="[Measures].[Count of patient attain status]" caption="Count of patient attain status" measure="1" displayFolder="" measureGroup="Sheet"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Sheet"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Sheet"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Sheet"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Sheet"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measure="1" name="Measures" uniqueName="[Measures]" caption="Measures"/>
    <dimension name="Sheet" uniqueName="[Sheet]" caption="Sheet"/>
  </dimensions>
  <measureGroups count="2">
    <measureGroup name="calendar table" caption="calendar table"/>
    <measureGroup name="Sheet" caption="Sheet"/>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94.60921516204" createdVersion="5" refreshedVersion="8" minRefreshableVersion="3" recordCount="0" supportSubquery="1" supportAdvancedDrill="1" xr:uid="{51D20147-6B0B-4A78-9CA7-F80E2BC2D94C}">
  <cacheSource type="external" connectionId="3"/>
  <cacheFields count="3">
    <cacheField name="[Measures].[Distinct Count of Patient Id]" caption="Distinct Count of Patient Id" numFmtId="0" hierarchy="24" level="32767"/>
    <cacheField name="[calendar table].[Date (Month)].[Date (Month)]" caption="Date (Month)" numFmtId="0" hierarchy="1" level="1">
      <sharedItems containsSemiMixedTypes="0" containsNonDate="0" containsString="0"/>
    </cacheField>
    <cacheField name="[calendar table].[Date (Year)].[Date (Year)]" caption="Date (Year)" numFmtId="0" hierarchy="3" level="1">
      <sharedItems containsSemiMixedTypes="0" containsNonDate="0" containsString="0"/>
    </cacheField>
  </cacheFields>
  <cacheHierarchies count="34">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1"/>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2"/>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Sheet].[Patient Id]" caption="Patient Id" attribute="1" defaultMemberUniqueName="[Sheet].[Patient Id].[All]" allUniqueName="[Sheet].[Patient Id].[All]" dimensionUniqueName="[Sheet]" displayFolder="" count="0" memberValueDatatype="130" unbalanced="0"/>
    <cacheHierarchy uniqueName="[Sheet].[Patient Admission Date]" caption="Patient Admission Date" attribute="1" time="1" defaultMemberUniqueName="[Sheet].[Patient Admission Date].[All]" allUniqueName="[Sheet].[Patient Admission Date].[All]" dimensionUniqueName="[Sheet]" displayFolder="" count="0" memberValueDatatype="7" unbalanced="0"/>
    <cacheHierarchy uniqueName="[Sheet].[Patient Admission Time]" caption="Patient Admission Time" attribute="1" time="1" defaultMemberUniqueName="[Sheet].[Patient Admission Time].[All]" allUniqueName="[Sheet].[Patient Admission Time].[All]" dimensionUniqueName="[Sheet]" displayFolder="" count="0" memberValueDatatype="7" unbalanced="0"/>
    <cacheHierarchy uniqueName="[Sheet].[Merged]" caption="Merged" attribute="1" defaultMemberUniqueName="[Sheet].[Merged].[All]" allUniqueName="[Sheet].[Merged].[All]" dimensionUniqueName="[Sheet]" displayFolder="" count="0" memberValueDatatype="130" unbalanced="0"/>
    <cacheHierarchy uniqueName="[Sheet].[Patient Gender]" caption="Patient Gender" attribute="1" defaultMemberUniqueName="[Sheet].[Patient Gender].[All]" allUniqueName="[Sheet].[Patient Gender].[All]" dimensionUniqueName="[Sheet]" displayFolder="" count="0" memberValueDatatype="130" unbalanced="0"/>
    <cacheHierarchy uniqueName="[Sheet].[Patient Age]" caption="Patient Age" attribute="1" defaultMemberUniqueName="[Sheet].[Patient Age].[All]" allUniqueName="[Sheet].[Patient Age].[All]" dimensionUniqueName="[Sheet]" displayFolder="" count="0" memberValueDatatype="20" unbalanced="0"/>
    <cacheHierarchy uniqueName="[Sheet].[Patient Race]" caption="Patient Race" attribute="1" defaultMemberUniqueName="[Sheet].[Patient Race].[All]" allUniqueName="[Sheet].[Patient Race].[All]" dimensionUniqueName="[Sheet]" displayFolder="" count="0" memberValueDatatype="130" unbalanced="0"/>
    <cacheHierarchy uniqueName="[Sheet].[Department Referral]" caption="Department Referral" attribute="1" defaultMemberUniqueName="[Sheet].[Department Referral].[All]" allUniqueName="[Sheet].[Department Referral].[All]" dimensionUniqueName="[Sheet]" displayFolder="" count="0" memberValueDatatype="130" unbalanced="0"/>
    <cacheHierarchy uniqueName="[Sheet].[Patient Admission Flag]" caption="Patient Admission Flag" attribute="1" defaultMemberUniqueName="[Sheet].[Patient Admission Flag].[All]" allUniqueName="[Sheet].[Patient Admission Flag].[All]" dimensionUniqueName="[Sheet]" displayFolder="" count="0" memberValueDatatype="130" unbalanced="0"/>
    <cacheHierarchy uniqueName="[Sheet].[Patient Satisfaction Score]" caption="Patient Satisfaction Score" attribute="1" defaultMemberUniqueName="[Sheet].[Patient Satisfaction Score].[All]" allUniqueName="[Sheet].[Patient Satisfaction Score].[All]" dimensionUniqueName="[Sheet]" displayFolder="" count="0" memberValueDatatype="20" unbalanced="0"/>
    <cacheHierarchy uniqueName="[Sheet].[Patient Waittime]" caption="Patient Waittime" attribute="1" defaultMemberUniqueName="[Sheet].[Patient Waittime].[All]" allUniqueName="[Sheet].[Patient Waittime].[All]" dimensionUniqueName="[Sheet]" displayFolder="" count="0" memberValueDatatype="20" unbalanced="0"/>
    <cacheHierarchy uniqueName="[Sheet].[Age group]" caption="Age group" attribute="1" defaultMemberUniqueName="[Sheet].[Age group].[All]" allUniqueName="[Sheet].[Age group].[All]" dimensionUniqueName="[Sheet]" displayFolder="" count="0" memberValueDatatype="130" unbalanced="0"/>
    <cacheHierarchy uniqueName="[Sheet].[patient attain status]" caption="patient attain status" attribute="1" defaultMemberUniqueName="[Sheet].[patient attain status].[All]" allUniqueName="[Sheet].[patient attain status].[All]" dimensionUniqueName="[Sheet]"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Sheet]" caption="__XL_Count Sheet" measure="1" displayFolder="" measureGroup="Sheet"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Sheet"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Sheet"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Sheet"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Sheet"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Sheet"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Sheet" count="0" hidden="1">
      <extLst>
        <ext xmlns:x15="http://schemas.microsoft.com/office/spreadsheetml/2010/11/main" uri="{B97F6D7D-B522-45F9-BDA1-12C45D357490}">
          <x15:cacheHierarchy aggregatedColumn="14"/>
        </ext>
      </extLst>
    </cacheHierarchy>
    <cacheHierarchy uniqueName="[Measures].[Count of patient attain status]" caption="Count of patient attain status" measure="1" displayFolder="" measureGroup="Sheet"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Sheet"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Sheet"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Sheet"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Sheet"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measure="1" name="Measures" uniqueName="[Measures]" caption="Measures"/>
    <dimension name="Sheet" uniqueName="[Sheet]" caption="Sheet"/>
  </dimensions>
  <measureGroups count="2">
    <measureGroup name="calendar table" caption="calendar table"/>
    <measureGroup name="Sheet" caption="Sheet"/>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94.609215277778" createdVersion="5" refreshedVersion="8" minRefreshableVersion="3" recordCount="0" supportSubquery="1" supportAdvancedDrill="1" xr:uid="{17164FA3-A4DA-4343-B518-F2228B6A703E}">
  <cacheSource type="external" connectionId="3"/>
  <cacheFields count="3">
    <cacheField name="[Measures].[Average of Patient Waittime]" caption="Average of Patient Waittime" numFmtId="0" hierarchy="26" level="32767"/>
    <cacheField name="[calendar table].[Date (Month)].[Date (Month)]" caption="Date (Month)" numFmtId="0" hierarchy="1" level="1">
      <sharedItems containsSemiMixedTypes="0" containsNonDate="0" containsString="0"/>
    </cacheField>
    <cacheField name="[calendar table].[Date (Year)].[Date (Year)]" caption="Date (Year)" numFmtId="0" hierarchy="3" level="1">
      <sharedItems containsSemiMixedTypes="0" containsNonDate="0" containsString="0"/>
    </cacheField>
  </cacheFields>
  <cacheHierarchies count="34">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1"/>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2"/>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Sheet].[Patient Id]" caption="Patient Id" attribute="1" defaultMemberUniqueName="[Sheet].[Patient Id].[All]" allUniqueName="[Sheet].[Patient Id].[All]" dimensionUniqueName="[Sheet]" displayFolder="" count="0" memberValueDatatype="130" unbalanced="0"/>
    <cacheHierarchy uniqueName="[Sheet].[Patient Admission Date]" caption="Patient Admission Date" attribute="1" time="1" defaultMemberUniqueName="[Sheet].[Patient Admission Date].[All]" allUniqueName="[Sheet].[Patient Admission Date].[All]" dimensionUniqueName="[Sheet]" displayFolder="" count="0" memberValueDatatype="7" unbalanced="0"/>
    <cacheHierarchy uniqueName="[Sheet].[Patient Admission Time]" caption="Patient Admission Time" attribute="1" time="1" defaultMemberUniqueName="[Sheet].[Patient Admission Time].[All]" allUniqueName="[Sheet].[Patient Admission Time].[All]" dimensionUniqueName="[Sheet]" displayFolder="" count="0" memberValueDatatype="7" unbalanced="0"/>
    <cacheHierarchy uniqueName="[Sheet].[Merged]" caption="Merged" attribute="1" defaultMemberUniqueName="[Sheet].[Merged].[All]" allUniqueName="[Sheet].[Merged].[All]" dimensionUniqueName="[Sheet]" displayFolder="" count="0" memberValueDatatype="130" unbalanced="0"/>
    <cacheHierarchy uniqueName="[Sheet].[Patient Gender]" caption="Patient Gender" attribute="1" defaultMemberUniqueName="[Sheet].[Patient Gender].[All]" allUniqueName="[Sheet].[Patient Gender].[All]" dimensionUniqueName="[Sheet]" displayFolder="" count="0" memberValueDatatype="130" unbalanced="0"/>
    <cacheHierarchy uniqueName="[Sheet].[Patient Age]" caption="Patient Age" attribute="1" defaultMemberUniqueName="[Sheet].[Patient Age].[All]" allUniqueName="[Sheet].[Patient Age].[All]" dimensionUniqueName="[Sheet]" displayFolder="" count="0" memberValueDatatype="20" unbalanced="0"/>
    <cacheHierarchy uniqueName="[Sheet].[Patient Race]" caption="Patient Race" attribute="1" defaultMemberUniqueName="[Sheet].[Patient Race].[All]" allUniqueName="[Sheet].[Patient Race].[All]" dimensionUniqueName="[Sheet]" displayFolder="" count="0" memberValueDatatype="130" unbalanced="0"/>
    <cacheHierarchy uniqueName="[Sheet].[Department Referral]" caption="Department Referral" attribute="1" defaultMemberUniqueName="[Sheet].[Department Referral].[All]" allUniqueName="[Sheet].[Department Referral].[All]" dimensionUniqueName="[Sheet]" displayFolder="" count="0" memberValueDatatype="130" unbalanced="0"/>
    <cacheHierarchy uniqueName="[Sheet].[Patient Admission Flag]" caption="Patient Admission Flag" attribute="1" defaultMemberUniqueName="[Sheet].[Patient Admission Flag].[All]" allUniqueName="[Sheet].[Patient Admission Flag].[All]" dimensionUniqueName="[Sheet]" displayFolder="" count="0" memberValueDatatype="130" unbalanced="0"/>
    <cacheHierarchy uniqueName="[Sheet].[Patient Satisfaction Score]" caption="Patient Satisfaction Score" attribute="1" defaultMemberUniqueName="[Sheet].[Patient Satisfaction Score].[All]" allUniqueName="[Sheet].[Patient Satisfaction Score].[All]" dimensionUniqueName="[Sheet]" displayFolder="" count="0" memberValueDatatype="20" unbalanced="0"/>
    <cacheHierarchy uniqueName="[Sheet].[Patient Waittime]" caption="Patient Waittime" attribute="1" defaultMemberUniqueName="[Sheet].[Patient Waittime].[All]" allUniqueName="[Sheet].[Patient Waittime].[All]" dimensionUniqueName="[Sheet]" displayFolder="" count="0" memberValueDatatype="20" unbalanced="0"/>
    <cacheHierarchy uniqueName="[Sheet].[Age group]" caption="Age group" attribute="1" defaultMemberUniqueName="[Sheet].[Age group].[All]" allUniqueName="[Sheet].[Age group].[All]" dimensionUniqueName="[Sheet]" displayFolder="" count="0" memberValueDatatype="130" unbalanced="0"/>
    <cacheHierarchy uniqueName="[Sheet].[patient attain status]" caption="patient attain status" attribute="1" defaultMemberUniqueName="[Sheet].[patient attain status].[All]" allUniqueName="[Sheet].[patient attain status].[All]" dimensionUniqueName="[Sheet]"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Sheet]" caption="__XL_Count Sheet" measure="1" displayFolder="" measureGroup="Sheet"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Sheet"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Sheet"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Sheet"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Sheet"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Sheet"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Sheet" count="0" hidden="1">
      <extLst>
        <ext xmlns:x15="http://schemas.microsoft.com/office/spreadsheetml/2010/11/main" uri="{B97F6D7D-B522-45F9-BDA1-12C45D357490}">
          <x15:cacheHierarchy aggregatedColumn="14"/>
        </ext>
      </extLst>
    </cacheHierarchy>
    <cacheHierarchy uniqueName="[Measures].[Count of patient attain status]" caption="Count of patient attain status" measure="1" displayFolder="" measureGroup="Sheet"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Sheet"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Sheet"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Sheet"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Sheet"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measure="1" name="Measures" uniqueName="[Measures]" caption="Measures"/>
    <dimension name="Sheet" uniqueName="[Sheet]" caption="Sheet"/>
  </dimensions>
  <measureGroups count="2">
    <measureGroup name="calendar table" caption="calendar table"/>
    <measureGroup name="Sheet" caption="Sheet"/>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94.609215277778" createdVersion="5" refreshedVersion="8" minRefreshableVersion="3" recordCount="0" supportSubquery="1" supportAdvancedDrill="1" xr:uid="{D32ADBD3-55BF-4F40-AED9-38A380B2B753}">
  <cacheSource type="external" connectionId="3"/>
  <cacheFields count="3">
    <cacheField name="[Measures].[Average of Patient Satisfaction Score]" caption="Average of Patient Satisfaction Score" numFmtId="0" hierarchy="28" level="32767"/>
    <cacheField name="[calendar table].[Date (Month)].[Date (Month)]" caption="Date (Month)" numFmtId="0" hierarchy="1" level="1">
      <sharedItems containsSemiMixedTypes="0" containsNonDate="0" containsString="0"/>
    </cacheField>
    <cacheField name="[calendar table].[Date (Year)].[Date (Year)]" caption="Date (Year)" numFmtId="0" hierarchy="3" level="1">
      <sharedItems containsSemiMixedTypes="0" containsNonDate="0" containsString="0"/>
    </cacheField>
  </cacheFields>
  <cacheHierarchies count="34">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1"/>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2"/>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Sheet].[Patient Id]" caption="Patient Id" attribute="1" defaultMemberUniqueName="[Sheet].[Patient Id].[All]" allUniqueName="[Sheet].[Patient Id].[All]" dimensionUniqueName="[Sheet]" displayFolder="" count="0" memberValueDatatype="130" unbalanced="0"/>
    <cacheHierarchy uniqueName="[Sheet].[Patient Admission Date]" caption="Patient Admission Date" attribute="1" time="1" defaultMemberUniqueName="[Sheet].[Patient Admission Date].[All]" allUniqueName="[Sheet].[Patient Admission Date].[All]" dimensionUniqueName="[Sheet]" displayFolder="" count="0" memberValueDatatype="7" unbalanced="0"/>
    <cacheHierarchy uniqueName="[Sheet].[Patient Admission Time]" caption="Patient Admission Time" attribute="1" time="1" defaultMemberUniqueName="[Sheet].[Patient Admission Time].[All]" allUniqueName="[Sheet].[Patient Admission Time].[All]" dimensionUniqueName="[Sheet]" displayFolder="" count="0" memberValueDatatype="7" unbalanced="0"/>
    <cacheHierarchy uniqueName="[Sheet].[Merged]" caption="Merged" attribute="1" defaultMemberUniqueName="[Sheet].[Merged].[All]" allUniqueName="[Sheet].[Merged].[All]" dimensionUniqueName="[Sheet]" displayFolder="" count="0" memberValueDatatype="130" unbalanced="0"/>
    <cacheHierarchy uniqueName="[Sheet].[Patient Gender]" caption="Patient Gender" attribute="1" defaultMemberUniqueName="[Sheet].[Patient Gender].[All]" allUniqueName="[Sheet].[Patient Gender].[All]" dimensionUniqueName="[Sheet]" displayFolder="" count="0" memberValueDatatype="130" unbalanced="0"/>
    <cacheHierarchy uniqueName="[Sheet].[Patient Age]" caption="Patient Age" attribute="1" defaultMemberUniqueName="[Sheet].[Patient Age].[All]" allUniqueName="[Sheet].[Patient Age].[All]" dimensionUniqueName="[Sheet]" displayFolder="" count="0" memberValueDatatype="20" unbalanced="0"/>
    <cacheHierarchy uniqueName="[Sheet].[Patient Race]" caption="Patient Race" attribute="1" defaultMemberUniqueName="[Sheet].[Patient Race].[All]" allUniqueName="[Sheet].[Patient Race].[All]" dimensionUniqueName="[Sheet]" displayFolder="" count="0" memberValueDatatype="130" unbalanced="0"/>
    <cacheHierarchy uniqueName="[Sheet].[Department Referral]" caption="Department Referral" attribute="1" defaultMemberUniqueName="[Sheet].[Department Referral].[All]" allUniqueName="[Sheet].[Department Referral].[All]" dimensionUniqueName="[Sheet]" displayFolder="" count="0" memberValueDatatype="130" unbalanced="0"/>
    <cacheHierarchy uniqueName="[Sheet].[Patient Admission Flag]" caption="Patient Admission Flag" attribute="1" defaultMemberUniqueName="[Sheet].[Patient Admission Flag].[All]" allUniqueName="[Sheet].[Patient Admission Flag].[All]" dimensionUniqueName="[Sheet]" displayFolder="" count="0" memberValueDatatype="130" unbalanced="0"/>
    <cacheHierarchy uniqueName="[Sheet].[Patient Satisfaction Score]" caption="Patient Satisfaction Score" attribute="1" defaultMemberUniqueName="[Sheet].[Patient Satisfaction Score].[All]" allUniqueName="[Sheet].[Patient Satisfaction Score].[All]" dimensionUniqueName="[Sheet]" displayFolder="" count="0" memberValueDatatype="20" unbalanced="0"/>
    <cacheHierarchy uniqueName="[Sheet].[Patient Waittime]" caption="Patient Waittime" attribute="1" defaultMemberUniqueName="[Sheet].[Patient Waittime].[All]" allUniqueName="[Sheet].[Patient Waittime].[All]" dimensionUniqueName="[Sheet]" displayFolder="" count="0" memberValueDatatype="20" unbalanced="0"/>
    <cacheHierarchy uniqueName="[Sheet].[Age group]" caption="Age group" attribute="1" defaultMemberUniqueName="[Sheet].[Age group].[All]" allUniqueName="[Sheet].[Age group].[All]" dimensionUniqueName="[Sheet]" displayFolder="" count="0" memberValueDatatype="130" unbalanced="0"/>
    <cacheHierarchy uniqueName="[Sheet].[patient attain status]" caption="patient attain status" attribute="1" defaultMemberUniqueName="[Sheet].[patient attain status].[All]" allUniqueName="[Sheet].[patient attain status].[All]" dimensionUniqueName="[Sheet]"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Sheet]" caption="__XL_Count Sheet" measure="1" displayFolder="" measureGroup="Sheet"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Sheet"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Sheet"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Sheet"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Sheet"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Sheet"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Sheet"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ttain status]" caption="Count of patient attain status" measure="1" displayFolder="" measureGroup="Sheet"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Sheet"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Sheet"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Sheet"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Sheet"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measure="1" name="Measures" uniqueName="[Measures]" caption="Measures"/>
    <dimension name="Sheet" uniqueName="[Sheet]" caption="Sheet"/>
  </dimensions>
  <measureGroups count="2">
    <measureGroup name="calendar table" caption="calendar table"/>
    <measureGroup name="Sheet" caption="Sheet"/>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94.609215625002" createdVersion="5" refreshedVersion="8" minRefreshableVersion="3" recordCount="0" supportSubquery="1" supportAdvancedDrill="1" xr:uid="{5B259BA8-D823-4978-8E68-6876CBEE2627}">
  <cacheSource type="external" connectionId="3"/>
  <cacheFields count="4">
    <cacheField name="[calendar table].[Date (Day)].[Date (Day)]" caption="Date (Day)" numFmtId="0" hierarchy="2" level="1">
      <sharedItems count="29">
        <s v="1-Feb"/>
        <s v="2-Feb"/>
        <s v="3-Feb"/>
        <s v="4-Feb"/>
        <s v="5-Feb"/>
        <s v="6-Feb"/>
        <s v="7-Feb"/>
        <s v="8-Feb"/>
        <s v="9-Feb"/>
        <s v="10-Feb"/>
        <s v="11-Feb"/>
        <s v="12-Feb"/>
        <s v="13-Feb"/>
        <s v="14-Feb"/>
        <s v="15-Feb"/>
        <s v="16-Feb"/>
        <s v="17-Feb"/>
        <s v="18-Feb"/>
        <s v="19-Feb"/>
        <s v="20-Feb"/>
        <s v="21-Feb"/>
        <s v="22-Feb"/>
        <s v="23-Feb"/>
        <s v="24-Feb"/>
        <s v="25-Feb"/>
        <s v="26-Feb"/>
        <s v="27-Feb"/>
        <s v="28-Feb"/>
        <s v="29-Feb"/>
      </sharedItems>
    </cacheField>
    <cacheField name="[calendar 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 table].[Date (Year)].[Date (Year)]" caption="Date (Year)" numFmtId="0" hierarchy="3" level="1">
      <sharedItems containsSemiMixedTypes="0" containsNonDate="0" containsString="0"/>
    </cacheField>
  </cacheFields>
  <cacheHierarchies count="34">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1"/>
      </fieldsUsage>
    </cacheHierarchy>
    <cacheHierarchy uniqueName="[calendar table].[Date (Day)]" caption="Date (Day)" attribute="1" defaultMemberUniqueName="[calendar table].[Date (Day)].[All]" allUniqueName="[calendar table].[Date (Day)].[All]" dimensionUniqueName="[calendar table]" displayFolder="" count="2" memberValueDatatype="130" unbalanced="0">
      <fieldsUsage count="2">
        <fieldUsage x="-1"/>
        <fieldUsage x="0"/>
      </fieldsUsage>
    </cacheHierarchy>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Sheet].[Patient Id]" caption="Patient Id" attribute="1" defaultMemberUniqueName="[Sheet].[Patient Id].[All]" allUniqueName="[Sheet].[Patient Id].[All]" dimensionUniqueName="[Sheet]" displayFolder="" count="0" memberValueDatatype="130" unbalanced="0"/>
    <cacheHierarchy uniqueName="[Sheet].[Patient Admission Date]" caption="Patient Admission Date" attribute="1" time="1" defaultMemberUniqueName="[Sheet].[Patient Admission Date].[All]" allUniqueName="[Sheet].[Patient Admission Date].[All]" dimensionUniqueName="[Sheet]" displayFolder="" count="0" memberValueDatatype="7" unbalanced="0"/>
    <cacheHierarchy uniqueName="[Sheet].[Patient Admission Time]" caption="Patient Admission Time" attribute="1" time="1" defaultMemberUniqueName="[Sheet].[Patient Admission Time].[All]" allUniqueName="[Sheet].[Patient Admission Time].[All]" dimensionUniqueName="[Sheet]" displayFolder="" count="0" memberValueDatatype="7" unbalanced="0"/>
    <cacheHierarchy uniqueName="[Sheet].[Merged]" caption="Merged" attribute="1" defaultMemberUniqueName="[Sheet].[Merged].[All]" allUniqueName="[Sheet].[Merged].[All]" dimensionUniqueName="[Sheet]" displayFolder="" count="0" memberValueDatatype="130" unbalanced="0"/>
    <cacheHierarchy uniqueName="[Sheet].[Patient Gender]" caption="Patient Gender" attribute="1" defaultMemberUniqueName="[Sheet].[Patient Gender].[All]" allUniqueName="[Sheet].[Patient Gender].[All]" dimensionUniqueName="[Sheet]" displayFolder="" count="0" memberValueDatatype="130" unbalanced="0"/>
    <cacheHierarchy uniqueName="[Sheet].[Patient Age]" caption="Patient Age" attribute="1" defaultMemberUniqueName="[Sheet].[Patient Age].[All]" allUniqueName="[Sheet].[Patient Age].[All]" dimensionUniqueName="[Sheet]" displayFolder="" count="0" memberValueDatatype="20" unbalanced="0"/>
    <cacheHierarchy uniqueName="[Sheet].[Patient Race]" caption="Patient Race" attribute="1" defaultMemberUniqueName="[Sheet].[Patient Race].[All]" allUniqueName="[Sheet].[Patient Race].[All]" dimensionUniqueName="[Sheet]" displayFolder="" count="0" memberValueDatatype="130" unbalanced="0"/>
    <cacheHierarchy uniqueName="[Sheet].[Department Referral]" caption="Department Referral" attribute="1" defaultMemberUniqueName="[Sheet].[Department Referral].[All]" allUniqueName="[Sheet].[Department Referral].[All]" dimensionUniqueName="[Sheet]" displayFolder="" count="0" memberValueDatatype="130" unbalanced="0"/>
    <cacheHierarchy uniqueName="[Sheet].[Patient Admission Flag]" caption="Patient Admission Flag" attribute="1" defaultMemberUniqueName="[Sheet].[Patient Admission Flag].[All]" allUniqueName="[Sheet].[Patient Admission Flag].[All]" dimensionUniqueName="[Sheet]" displayFolder="" count="0" memberValueDatatype="130" unbalanced="0"/>
    <cacheHierarchy uniqueName="[Sheet].[Patient Satisfaction Score]" caption="Patient Satisfaction Score" attribute="1" defaultMemberUniqueName="[Sheet].[Patient Satisfaction Score].[All]" allUniqueName="[Sheet].[Patient Satisfaction Score].[All]" dimensionUniqueName="[Sheet]" displayFolder="" count="0" memberValueDatatype="20" unbalanced="0"/>
    <cacheHierarchy uniqueName="[Sheet].[Patient Waittime]" caption="Patient Waittime" attribute="1" defaultMemberUniqueName="[Sheet].[Patient Waittime].[All]" allUniqueName="[Sheet].[Patient Waittime].[All]" dimensionUniqueName="[Sheet]" displayFolder="" count="0" memberValueDatatype="20" unbalanced="0"/>
    <cacheHierarchy uniqueName="[Sheet].[Age group]" caption="Age group" attribute="1" defaultMemberUniqueName="[Sheet].[Age group].[All]" allUniqueName="[Sheet].[Age group].[All]" dimensionUniqueName="[Sheet]" displayFolder="" count="0" memberValueDatatype="130" unbalanced="0"/>
    <cacheHierarchy uniqueName="[Sheet].[patient attain status]" caption="patient attain status" attribute="1" defaultMemberUniqueName="[Sheet].[patient attain status].[All]" allUniqueName="[Sheet].[patient attain status].[All]" dimensionUniqueName="[Sheet]"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Sheet]" caption="__XL_Count Sheet" measure="1" displayFolder="" measureGroup="Sheet"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Sheet"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Sheet"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Sheet"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Sheet"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Sheet"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Sheet" count="0" hidden="1">
      <extLst>
        <ext xmlns:x15="http://schemas.microsoft.com/office/spreadsheetml/2010/11/main" uri="{B97F6D7D-B522-45F9-BDA1-12C45D357490}">
          <x15:cacheHierarchy aggregatedColumn="14"/>
        </ext>
      </extLst>
    </cacheHierarchy>
    <cacheHierarchy uniqueName="[Measures].[Count of patient attain status]" caption="Count of patient attain status" measure="1" displayFolder="" measureGroup="Sheet"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Sheet"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Sheet"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Sheet"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Sheet"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measure="1" name="Measures" uniqueName="[Measures]" caption="Measures"/>
    <dimension name="Sheet" uniqueName="[Sheet]" caption="Sheet"/>
  </dimensions>
  <measureGroups count="2">
    <measureGroup name="calendar table" caption="calendar table"/>
    <measureGroup name="Sheet" caption="Sheet"/>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94.609216319448" createdVersion="5" refreshedVersion="8" minRefreshableVersion="3" recordCount="0" supportSubquery="1" supportAdvancedDrill="1" xr:uid="{C92315A1-77C2-41B2-8304-482E45FD378E}">
  <cacheSource type="external" connectionId="3"/>
  <cacheFields count="4">
    <cacheField name="[calendar table].[Date (Day)].[Date (Day)]" caption="Date (Day)" numFmtId="0" hierarchy="2" level="1">
      <sharedItems count="28">
        <s v="1-Feb"/>
        <s v="2-Feb"/>
        <s v="3-Feb"/>
        <s v="4-Feb"/>
        <s v="5-Feb"/>
        <s v="6-Feb"/>
        <s v="7-Feb"/>
        <s v="8-Feb"/>
        <s v="9-Feb"/>
        <s v="10-Feb"/>
        <s v="11-Feb"/>
        <s v="12-Feb"/>
        <s v="13-Feb"/>
        <s v="14-Feb"/>
        <s v="15-Feb"/>
        <s v="16-Feb"/>
        <s v="17-Feb"/>
        <s v="18-Feb"/>
        <s v="19-Feb"/>
        <s v="20-Feb"/>
        <s v="21-Feb"/>
        <s v="22-Feb"/>
        <s v="23-Feb"/>
        <s v="24-Feb"/>
        <s v="25-Feb"/>
        <s v="27-Feb"/>
        <s v="28-Feb"/>
        <s v="29-Feb"/>
      </sharedItems>
    </cacheField>
    <cacheField name="[calendar 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 table].[Date (Year)].[Date (Year)]" caption="Date (Year)" numFmtId="0" hierarchy="3" level="1">
      <sharedItems containsSemiMixedTypes="0" containsNonDate="0" containsString="0"/>
    </cacheField>
  </cacheFields>
  <cacheHierarchies count="34">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1"/>
      </fieldsUsage>
    </cacheHierarchy>
    <cacheHierarchy uniqueName="[calendar table].[Date (Day)]" caption="Date (Day)" attribute="1" defaultMemberUniqueName="[calendar table].[Date (Day)].[All]" allUniqueName="[calendar table].[Date (Day)].[All]" dimensionUniqueName="[calendar table]" displayFolder="" count="2" memberValueDatatype="130" unbalanced="0">
      <fieldsUsage count="2">
        <fieldUsage x="-1"/>
        <fieldUsage x="0"/>
      </fieldsUsage>
    </cacheHierarchy>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Sheet].[Patient Id]" caption="Patient Id" attribute="1" defaultMemberUniqueName="[Sheet].[Patient Id].[All]" allUniqueName="[Sheet].[Patient Id].[All]" dimensionUniqueName="[Sheet]" displayFolder="" count="0" memberValueDatatype="130" unbalanced="0"/>
    <cacheHierarchy uniqueName="[Sheet].[Patient Admission Date]" caption="Patient Admission Date" attribute="1" time="1" defaultMemberUniqueName="[Sheet].[Patient Admission Date].[All]" allUniqueName="[Sheet].[Patient Admission Date].[All]" dimensionUniqueName="[Sheet]" displayFolder="" count="0" memberValueDatatype="7" unbalanced="0"/>
    <cacheHierarchy uniqueName="[Sheet].[Patient Admission Time]" caption="Patient Admission Time" attribute="1" time="1" defaultMemberUniqueName="[Sheet].[Patient Admission Time].[All]" allUniqueName="[Sheet].[Patient Admission Time].[All]" dimensionUniqueName="[Sheet]" displayFolder="" count="0" memberValueDatatype="7" unbalanced="0"/>
    <cacheHierarchy uniqueName="[Sheet].[Merged]" caption="Merged" attribute="1" defaultMemberUniqueName="[Sheet].[Merged].[All]" allUniqueName="[Sheet].[Merged].[All]" dimensionUniqueName="[Sheet]" displayFolder="" count="0" memberValueDatatype="130" unbalanced="0"/>
    <cacheHierarchy uniqueName="[Sheet].[Patient Gender]" caption="Patient Gender" attribute="1" defaultMemberUniqueName="[Sheet].[Patient Gender].[All]" allUniqueName="[Sheet].[Patient Gender].[All]" dimensionUniqueName="[Sheet]" displayFolder="" count="0" memberValueDatatype="130" unbalanced="0"/>
    <cacheHierarchy uniqueName="[Sheet].[Patient Age]" caption="Patient Age" attribute="1" defaultMemberUniqueName="[Sheet].[Patient Age].[All]" allUniqueName="[Sheet].[Patient Age].[All]" dimensionUniqueName="[Sheet]" displayFolder="" count="0" memberValueDatatype="20" unbalanced="0"/>
    <cacheHierarchy uniqueName="[Sheet].[Patient Race]" caption="Patient Race" attribute="1" defaultMemberUniqueName="[Sheet].[Patient Race].[All]" allUniqueName="[Sheet].[Patient Race].[All]" dimensionUniqueName="[Sheet]" displayFolder="" count="0" memberValueDatatype="130" unbalanced="0"/>
    <cacheHierarchy uniqueName="[Sheet].[Department Referral]" caption="Department Referral" attribute="1" defaultMemberUniqueName="[Sheet].[Department Referral].[All]" allUniqueName="[Sheet].[Department Referral].[All]" dimensionUniqueName="[Sheet]" displayFolder="" count="0" memberValueDatatype="130" unbalanced="0"/>
    <cacheHierarchy uniqueName="[Sheet].[Patient Admission Flag]" caption="Patient Admission Flag" attribute="1" defaultMemberUniqueName="[Sheet].[Patient Admission Flag].[All]" allUniqueName="[Sheet].[Patient Admission Flag].[All]" dimensionUniqueName="[Sheet]" displayFolder="" count="0" memberValueDatatype="130" unbalanced="0"/>
    <cacheHierarchy uniqueName="[Sheet].[Patient Satisfaction Score]" caption="Patient Satisfaction Score" attribute="1" defaultMemberUniqueName="[Sheet].[Patient Satisfaction Score].[All]" allUniqueName="[Sheet].[Patient Satisfaction Score].[All]" dimensionUniqueName="[Sheet]" displayFolder="" count="0" memberValueDatatype="20" unbalanced="0"/>
    <cacheHierarchy uniqueName="[Sheet].[Patient Waittime]" caption="Patient Waittime" attribute="1" defaultMemberUniqueName="[Sheet].[Patient Waittime].[All]" allUniqueName="[Sheet].[Patient Waittime].[All]" dimensionUniqueName="[Sheet]" displayFolder="" count="0" memberValueDatatype="20" unbalanced="0"/>
    <cacheHierarchy uniqueName="[Sheet].[Age group]" caption="Age group" attribute="1" defaultMemberUniqueName="[Sheet].[Age group].[All]" allUniqueName="[Sheet].[Age group].[All]" dimensionUniqueName="[Sheet]" displayFolder="" count="0" memberValueDatatype="130" unbalanced="0"/>
    <cacheHierarchy uniqueName="[Sheet].[patient attain status]" caption="patient attain status" attribute="1" defaultMemberUniqueName="[Sheet].[patient attain status].[All]" allUniqueName="[Sheet].[patient attain status].[All]" dimensionUniqueName="[Sheet]"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Sheet]" caption="__XL_Count Sheet" measure="1" displayFolder="" measureGroup="Sheet"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Sheet"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Sheet"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Sheet"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Sheet"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Sheet"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Sheet"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ttain status]" caption="Count of patient attain status" measure="1" displayFolder="" measureGroup="Sheet"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Sheet"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Sheet"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Sheet"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Sheet"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measure="1" name="Measures" uniqueName="[Measures]" caption="Measures"/>
    <dimension name="Sheet" uniqueName="[Sheet]" caption="Sheet"/>
  </dimensions>
  <measureGroups count="2">
    <measureGroup name="calendar table" caption="calendar table"/>
    <measureGroup name="Sheet" caption="Sheet"/>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94.609216898149" createdVersion="5" refreshedVersion="8" minRefreshableVersion="3" recordCount="0" supportSubquery="1" supportAdvancedDrill="1" xr:uid="{7055D31F-24DB-421A-A3BA-D1A520D59AD0}">
  <cacheSource type="external" connectionId="3"/>
  <cacheFields count="5">
    <cacheField name="[calendar table].[Date (Month)].[Date (Month)]" caption="Date (Month)" numFmtId="0" hierarchy="1" level="1">
      <sharedItems containsSemiMixedTypes="0" containsNonDate="0" containsString="0"/>
    </cacheField>
    <cacheField name="[Measures].[Count of Patient Admission Flag]" caption="Count of Patient Admission Flag" numFmtId="0" hierarchy="30" level="32767"/>
    <cacheField name="[Sheet].[Patient Admission Flag].[Patient Admission Flag]" caption="Patient Admission Flag" numFmtId="0" hierarchy="13" level="1">
      <sharedItems count="2">
        <s v="Admitted"/>
        <s v="Not Admitted"/>
      </sharedItems>
    </cacheField>
    <cacheField name="[calendar table].[Date (Year)].[Date (Year)]" caption="Date (Year)" numFmtId="0" hierarchy="3"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0"/>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Sheet].[Patient Id]" caption="Patient Id" attribute="1" defaultMemberUniqueName="[Sheet].[Patient Id].[All]" allUniqueName="[Sheet].[Patient Id].[All]" dimensionUniqueName="[Sheet]" displayFolder="" count="0" memberValueDatatype="130" unbalanced="0"/>
    <cacheHierarchy uniqueName="[Sheet].[Patient Admission Date]" caption="Patient Admission Date" attribute="1" time="1" defaultMemberUniqueName="[Sheet].[Patient Admission Date].[All]" allUniqueName="[Sheet].[Patient Admission Date].[All]" dimensionUniqueName="[Sheet]" displayFolder="" count="0" memberValueDatatype="7" unbalanced="0"/>
    <cacheHierarchy uniqueName="[Sheet].[Patient Admission Time]" caption="Patient Admission Time" attribute="1" time="1" defaultMemberUniqueName="[Sheet].[Patient Admission Time].[All]" allUniqueName="[Sheet].[Patient Admission Time].[All]" dimensionUniqueName="[Sheet]" displayFolder="" count="0" memberValueDatatype="7" unbalanced="0"/>
    <cacheHierarchy uniqueName="[Sheet].[Merged]" caption="Merged" attribute="1" defaultMemberUniqueName="[Sheet].[Merged].[All]" allUniqueName="[Sheet].[Merged].[All]" dimensionUniqueName="[Sheet]" displayFolder="" count="0" memberValueDatatype="130" unbalanced="0"/>
    <cacheHierarchy uniqueName="[Sheet].[Patient Gender]" caption="Patient Gender" attribute="1" defaultMemberUniqueName="[Sheet].[Patient Gender].[All]" allUniqueName="[Sheet].[Patient Gender].[All]" dimensionUniqueName="[Sheet]" displayFolder="" count="0" memberValueDatatype="130" unbalanced="0"/>
    <cacheHierarchy uniqueName="[Sheet].[Patient Age]" caption="Patient Age" attribute="1" defaultMemberUniqueName="[Sheet].[Patient Age].[All]" allUniqueName="[Sheet].[Patient Age].[All]" dimensionUniqueName="[Sheet]" displayFolder="" count="0" memberValueDatatype="20" unbalanced="0"/>
    <cacheHierarchy uniqueName="[Sheet].[Patient Race]" caption="Patient Race" attribute="1" defaultMemberUniqueName="[Sheet].[Patient Race].[All]" allUniqueName="[Sheet].[Patient Race].[All]" dimensionUniqueName="[Sheet]" displayFolder="" count="0" memberValueDatatype="130" unbalanced="0"/>
    <cacheHierarchy uniqueName="[Sheet].[Department Referral]" caption="Department Referral" attribute="1" defaultMemberUniqueName="[Sheet].[Department Referral].[All]" allUniqueName="[Sheet].[Department Referral].[All]" dimensionUniqueName="[Sheet]" displayFolder="" count="0" memberValueDatatype="130" unbalanced="0"/>
    <cacheHierarchy uniqueName="[Sheet].[Patient Admission Flag]" caption="Patient Admission Flag" attribute="1" defaultMemberUniqueName="[Sheet].[Patient Admission Flag].[All]" allUniqueName="[Sheet].[Patient Admission Flag].[All]" dimensionUniqueName="[Sheet]" displayFolder="" count="2" memberValueDatatype="130" unbalanced="0">
      <fieldsUsage count="2">
        <fieldUsage x="-1"/>
        <fieldUsage x="2"/>
      </fieldsUsage>
    </cacheHierarchy>
    <cacheHierarchy uniqueName="[Sheet].[Patient Satisfaction Score]" caption="Patient Satisfaction Score" attribute="1" defaultMemberUniqueName="[Sheet].[Patient Satisfaction Score].[All]" allUniqueName="[Sheet].[Patient Satisfaction Score].[All]" dimensionUniqueName="[Sheet]" displayFolder="" count="0" memberValueDatatype="20" unbalanced="0"/>
    <cacheHierarchy uniqueName="[Sheet].[Patient Waittime]" caption="Patient Waittime" attribute="1" defaultMemberUniqueName="[Sheet].[Patient Waittime].[All]" allUniqueName="[Sheet].[Patient Waittime].[All]" dimensionUniqueName="[Sheet]" displayFolder="" count="0" memberValueDatatype="20" unbalanced="0"/>
    <cacheHierarchy uniqueName="[Sheet].[Age group]" caption="Age group" attribute="1" defaultMemberUniqueName="[Sheet].[Age group].[All]" allUniqueName="[Sheet].[Age group].[All]" dimensionUniqueName="[Sheet]" displayFolder="" count="0" memberValueDatatype="130" unbalanced="0"/>
    <cacheHierarchy uniqueName="[Sheet].[patient attain status]" caption="patient attain status" attribute="1" defaultMemberUniqueName="[Sheet].[patient attain status].[All]" allUniqueName="[Sheet].[patient attain status].[All]" dimensionUniqueName="[Sheet]"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Sheet]" caption="__XL_Count Sheet" measure="1" displayFolder="" measureGroup="Sheet"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Sheet"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Sheet"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Sheet"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Sheet"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Sheet"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Sheet" count="0" hidden="1">
      <extLst>
        <ext xmlns:x15="http://schemas.microsoft.com/office/spreadsheetml/2010/11/main" uri="{B97F6D7D-B522-45F9-BDA1-12C45D357490}">
          <x15:cacheHierarchy aggregatedColumn="14"/>
        </ext>
      </extLst>
    </cacheHierarchy>
    <cacheHierarchy uniqueName="[Measures].[Count of patient attain status]" caption="Count of patient attain status" measure="1" displayFolder="" measureGroup="Sheet"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Sheet"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Sheet"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Sheet"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Sheet"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 table" uniqueName="[calendar table]" caption="calendar table"/>
    <dimension measure="1" name="Measures" uniqueName="[Measures]" caption="Measures"/>
    <dimension name="Sheet" uniqueName="[Sheet]" caption="Sheet"/>
  </dimensions>
  <measureGroups count="2">
    <measureGroup name="calendar table" caption="calendar table"/>
    <measureGroup name="Sheet" caption="Sheet"/>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94.609217245372" createdVersion="5" refreshedVersion="8" minRefreshableVersion="3" recordCount="0" supportSubquery="1" supportAdvancedDrill="1" xr:uid="{D400F921-950A-4D13-8AAE-9F70C07096B9}">
  <cacheSource type="external" connectionId="3"/>
  <cacheFields count="4">
    <cacheField name="[calendar table].[Date (Month)].[Date (Month)]" caption="Date (Month)" numFmtId="0" hierarchy="1" level="1">
      <sharedItems containsSemiMixedTypes="0" containsNonDate="0" containsString="0"/>
    </cacheField>
    <cacheField name="[Sheet].[Age group].[Age group]" caption="Age group" numFmtId="0" hierarchy="16" level="1">
      <sharedItems count="8">
        <s v="0-9"/>
        <s v="10-19"/>
        <s v="20-29"/>
        <s v="30-39"/>
        <s v="40-49"/>
        <s v="50-59"/>
        <s v="60-69"/>
        <s v="70-79"/>
      </sharedItems>
    </cacheField>
    <cacheField name="[Measures].[Count of Age group]" caption="Count of Age group" numFmtId="0" hierarchy="31" level="32767"/>
    <cacheField name="[calendar table].[Date (Year)].[Date (Year)]" caption="Date (Year)" numFmtId="0" hierarchy="3" level="1">
      <sharedItems containsSemiMixedTypes="0" containsNonDate="0" containsString="0"/>
    </cacheField>
  </cacheFields>
  <cacheHierarchies count="34">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0"/>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Sheet].[Patient Id]" caption="Patient Id" attribute="1" defaultMemberUniqueName="[Sheet].[Patient Id].[All]" allUniqueName="[Sheet].[Patient Id].[All]" dimensionUniqueName="[Sheet]" displayFolder="" count="0" memberValueDatatype="130" unbalanced="0"/>
    <cacheHierarchy uniqueName="[Sheet].[Patient Admission Date]" caption="Patient Admission Date" attribute="1" time="1" defaultMemberUniqueName="[Sheet].[Patient Admission Date].[All]" allUniqueName="[Sheet].[Patient Admission Date].[All]" dimensionUniqueName="[Sheet]" displayFolder="" count="0" memberValueDatatype="7" unbalanced="0"/>
    <cacheHierarchy uniqueName="[Sheet].[Patient Admission Time]" caption="Patient Admission Time" attribute="1" time="1" defaultMemberUniqueName="[Sheet].[Patient Admission Time].[All]" allUniqueName="[Sheet].[Patient Admission Time].[All]" dimensionUniqueName="[Sheet]" displayFolder="" count="0" memberValueDatatype="7" unbalanced="0"/>
    <cacheHierarchy uniqueName="[Sheet].[Merged]" caption="Merged" attribute="1" defaultMemberUniqueName="[Sheet].[Merged].[All]" allUniqueName="[Sheet].[Merged].[All]" dimensionUniqueName="[Sheet]" displayFolder="" count="0" memberValueDatatype="130" unbalanced="0"/>
    <cacheHierarchy uniqueName="[Sheet].[Patient Gender]" caption="Patient Gender" attribute="1" defaultMemberUniqueName="[Sheet].[Patient Gender].[All]" allUniqueName="[Sheet].[Patient Gender].[All]" dimensionUniqueName="[Sheet]" displayFolder="" count="0" memberValueDatatype="130" unbalanced="0"/>
    <cacheHierarchy uniqueName="[Sheet].[Patient Age]" caption="Patient Age" attribute="1" defaultMemberUniqueName="[Sheet].[Patient Age].[All]" allUniqueName="[Sheet].[Patient Age].[All]" dimensionUniqueName="[Sheet]" displayFolder="" count="0" memberValueDatatype="20" unbalanced="0"/>
    <cacheHierarchy uniqueName="[Sheet].[Patient Race]" caption="Patient Race" attribute="1" defaultMemberUniqueName="[Sheet].[Patient Race].[All]" allUniqueName="[Sheet].[Patient Race].[All]" dimensionUniqueName="[Sheet]" displayFolder="" count="0" memberValueDatatype="130" unbalanced="0"/>
    <cacheHierarchy uniqueName="[Sheet].[Department Referral]" caption="Department Referral" attribute="1" defaultMemberUniqueName="[Sheet].[Department Referral].[All]" allUniqueName="[Sheet].[Department Referral].[All]" dimensionUniqueName="[Sheet]" displayFolder="" count="0" memberValueDatatype="130" unbalanced="0"/>
    <cacheHierarchy uniqueName="[Sheet].[Patient Admission Flag]" caption="Patient Admission Flag" attribute="1" defaultMemberUniqueName="[Sheet].[Patient Admission Flag].[All]" allUniqueName="[Sheet].[Patient Admission Flag].[All]" dimensionUniqueName="[Sheet]" displayFolder="" count="0" memberValueDatatype="130" unbalanced="0"/>
    <cacheHierarchy uniqueName="[Sheet].[Patient Satisfaction Score]" caption="Patient Satisfaction Score" attribute="1" defaultMemberUniqueName="[Sheet].[Patient Satisfaction Score].[All]" allUniqueName="[Sheet].[Patient Satisfaction Score].[All]" dimensionUniqueName="[Sheet]" displayFolder="" count="0" memberValueDatatype="20" unbalanced="0"/>
    <cacheHierarchy uniqueName="[Sheet].[Patient Waittime]" caption="Patient Waittime" attribute="1" defaultMemberUniqueName="[Sheet].[Patient Waittime].[All]" allUniqueName="[Sheet].[Patient Waittime].[All]" dimensionUniqueName="[Sheet]" displayFolder="" count="0" memberValueDatatype="20" unbalanced="0"/>
    <cacheHierarchy uniqueName="[Sheet].[Age group]" caption="Age group" attribute="1" defaultMemberUniqueName="[Sheet].[Age group].[All]" allUniqueName="[Sheet].[Age group].[All]" dimensionUniqueName="[Sheet]" displayFolder="" count="2" memberValueDatatype="130" unbalanced="0">
      <fieldsUsage count="2">
        <fieldUsage x="-1"/>
        <fieldUsage x="1"/>
      </fieldsUsage>
    </cacheHierarchy>
    <cacheHierarchy uniqueName="[Sheet].[patient attain status]" caption="patient attain status" attribute="1" defaultMemberUniqueName="[Sheet].[patient attain status].[All]" allUniqueName="[Sheet].[patient attain status].[All]" dimensionUniqueName="[Sheet]"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Sheet]" caption="__XL_Count Sheet" measure="1" displayFolder="" measureGroup="Sheet"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Sheet"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Sheet"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Sheet"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Sheet"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Sheet"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Sheet" count="0" hidden="1">
      <extLst>
        <ext xmlns:x15="http://schemas.microsoft.com/office/spreadsheetml/2010/11/main" uri="{B97F6D7D-B522-45F9-BDA1-12C45D357490}">
          <x15:cacheHierarchy aggregatedColumn="14"/>
        </ext>
      </extLst>
    </cacheHierarchy>
    <cacheHierarchy uniqueName="[Measures].[Count of patient attain status]" caption="Count of patient attain status" measure="1" displayFolder="" measureGroup="Sheet"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Sheet"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Sheet"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Sheet"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Sheet"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measure="1" name="Measures" uniqueName="[Measures]" caption="Measures"/>
    <dimension name="Sheet" uniqueName="[Sheet]" caption="Sheet"/>
  </dimensions>
  <measureGroups count="2">
    <measureGroup name="calendar table" caption="calendar table"/>
    <measureGroup name="Sheet" caption="Sheet"/>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94.609217708334" createdVersion="5" refreshedVersion="8" minRefreshableVersion="3" recordCount="0" supportSubquery="1" supportAdvancedDrill="1" xr:uid="{C173D50D-2263-4231-A5C4-630D9CB9021E}">
  <cacheSource type="external" connectionId="3"/>
  <cacheFields count="4">
    <cacheField name="[calendar table].[Date (Month)].[Date (Month)]" caption="Date (Month)" numFmtId="0" hierarchy="1" level="1">
      <sharedItems containsSemiMixedTypes="0" containsNonDate="0" containsString="0"/>
    </cacheField>
    <cacheField name="[Sheet].[Age group].[Age group]" caption="Age group" numFmtId="0" hierarchy="16" level="1">
      <sharedItems count="8">
        <s v="0-9"/>
        <s v="10-19"/>
        <s v="20-29"/>
        <s v="30-39"/>
        <s v="40-49"/>
        <s v="50-59"/>
        <s v="60-69"/>
        <s v="70-79"/>
      </sharedItems>
    </cacheField>
    <cacheField name="[Measures].[Count of Age group]" caption="Count of Age group" numFmtId="0" hierarchy="31" level="32767"/>
    <cacheField name="[calendar table].[Date (Year)].[Date (Year)]" caption="Date (Year)" numFmtId="0" hierarchy="3" level="1">
      <sharedItems containsSemiMixedTypes="0" containsNonDate="0" containsString="0"/>
    </cacheField>
  </cacheFields>
  <cacheHierarchies count="34">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0"/>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Sheet].[Patient Id]" caption="Patient Id" attribute="1" defaultMemberUniqueName="[Sheet].[Patient Id].[All]" allUniqueName="[Sheet].[Patient Id].[All]" dimensionUniqueName="[Sheet]" displayFolder="" count="0" memberValueDatatype="130" unbalanced="0"/>
    <cacheHierarchy uniqueName="[Sheet].[Patient Admission Date]" caption="Patient Admission Date" attribute="1" time="1" defaultMemberUniqueName="[Sheet].[Patient Admission Date].[All]" allUniqueName="[Sheet].[Patient Admission Date].[All]" dimensionUniqueName="[Sheet]" displayFolder="" count="0" memberValueDatatype="7" unbalanced="0"/>
    <cacheHierarchy uniqueName="[Sheet].[Patient Admission Time]" caption="Patient Admission Time" attribute="1" time="1" defaultMemberUniqueName="[Sheet].[Patient Admission Time].[All]" allUniqueName="[Sheet].[Patient Admission Time].[All]" dimensionUniqueName="[Sheet]" displayFolder="" count="0" memberValueDatatype="7" unbalanced="0"/>
    <cacheHierarchy uniqueName="[Sheet].[Merged]" caption="Merged" attribute="1" defaultMemberUniqueName="[Sheet].[Merged].[All]" allUniqueName="[Sheet].[Merged].[All]" dimensionUniqueName="[Sheet]" displayFolder="" count="0" memberValueDatatype="130" unbalanced="0"/>
    <cacheHierarchy uniqueName="[Sheet].[Patient Gender]" caption="Patient Gender" attribute="1" defaultMemberUniqueName="[Sheet].[Patient Gender].[All]" allUniqueName="[Sheet].[Patient Gender].[All]" dimensionUniqueName="[Sheet]" displayFolder="" count="0" memberValueDatatype="130" unbalanced="0"/>
    <cacheHierarchy uniqueName="[Sheet].[Patient Age]" caption="Patient Age" attribute="1" defaultMemberUniqueName="[Sheet].[Patient Age].[All]" allUniqueName="[Sheet].[Patient Age].[All]" dimensionUniqueName="[Sheet]" displayFolder="" count="0" memberValueDatatype="20" unbalanced="0"/>
    <cacheHierarchy uniqueName="[Sheet].[Patient Race]" caption="Patient Race" attribute="1" defaultMemberUniqueName="[Sheet].[Patient Race].[All]" allUniqueName="[Sheet].[Patient Race].[All]" dimensionUniqueName="[Sheet]" displayFolder="" count="0" memberValueDatatype="130" unbalanced="0"/>
    <cacheHierarchy uniqueName="[Sheet].[Department Referral]" caption="Department Referral" attribute="1" defaultMemberUniqueName="[Sheet].[Department Referral].[All]" allUniqueName="[Sheet].[Department Referral].[All]" dimensionUniqueName="[Sheet]" displayFolder="" count="0" memberValueDatatype="130" unbalanced="0"/>
    <cacheHierarchy uniqueName="[Sheet].[Patient Admission Flag]" caption="Patient Admission Flag" attribute="1" defaultMemberUniqueName="[Sheet].[Patient Admission Flag].[All]" allUniqueName="[Sheet].[Patient Admission Flag].[All]" dimensionUniqueName="[Sheet]" displayFolder="" count="0" memberValueDatatype="130" unbalanced="0"/>
    <cacheHierarchy uniqueName="[Sheet].[Patient Satisfaction Score]" caption="Patient Satisfaction Score" attribute="1" defaultMemberUniqueName="[Sheet].[Patient Satisfaction Score].[All]" allUniqueName="[Sheet].[Patient Satisfaction Score].[All]" dimensionUniqueName="[Sheet]" displayFolder="" count="0" memberValueDatatype="20" unbalanced="0"/>
    <cacheHierarchy uniqueName="[Sheet].[Patient Waittime]" caption="Patient Waittime" attribute="1" defaultMemberUniqueName="[Sheet].[Patient Waittime].[All]" allUniqueName="[Sheet].[Patient Waittime].[All]" dimensionUniqueName="[Sheet]" displayFolder="" count="0" memberValueDatatype="20" unbalanced="0"/>
    <cacheHierarchy uniqueName="[Sheet].[Age group]" caption="Age group" attribute="1" defaultMemberUniqueName="[Sheet].[Age group].[All]" allUniqueName="[Sheet].[Age group].[All]" dimensionUniqueName="[Sheet]" displayFolder="" count="2" memberValueDatatype="130" unbalanced="0">
      <fieldsUsage count="2">
        <fieldUsage x="-1"/>
        <fieldUsage x="1"/>
      </fieldsUsage>
    </cacheHierarchy>
    <cacheHierarchy uniqueName="[Sheet].[patient attain status]" caption="patient attain status" attribute="1" defaultMemberUniqueName="[Sheet].[patient attain status].[All]" allUniqueName="[Sheet].[patient attain status].[All]" dimensionUniqueName="[Sheet]"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Sheet]" caption="__XL_Count Sheet" measure="1" displayFolder="" measureGroup="Sheet"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Sheet"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Sheet"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Sheet"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Sheet"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Sheet"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Sheet" count="0" hidden="1">
      <extLst>
        <ext xmlns:x15="http://schemas.microsoft.com/office/spreadsheetml/2010/11/main" uri="{B97F6D7D-B522-45F9-BDA1-12C45D357490}">
          <x15:cacheHierarchy aggregatedColumn="14"/>
        </ext>
      </extLst>
    </cacheHierarchy>
    <cacheHierarchy uniqueName="[Measures].[Count of patient attain status]" caption="Count of patient attain status" measure="1" displayFolder="" measureGroup="Sheet"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Sheet"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Sheet"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Sheet"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Sheet"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measure="1" name="Measures" uniqueName="[Measures]" caption="Measures"/>
    <dimension name="Sheet" uniqueName="[Sheet]" caption="Sheet"/>
  </dimensions>
  <measureGroups count="2">
    <measureGroup name="calendar table" caption="calendar table"/>
    <measureGroup name="Sheet" caption="Sheet"/>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94.609218055557" createdVersion="5" refreshedVersion="8" minRefreshableVersion="3" recordCount="0" supportSubquery="1" supportAdvancedDrill="1" xr:uid="{58F5D4F0-19C8-44A2-BD66-0CD2B7C3D906}">
  <cacheSource type="external" connectionId="3"/>
  <cacheFields count="4">
    <cacheField name="[calendar table].[Date (Month)].[Date (Month)]" caption="Date (Month)" numFmtId="0" hierarchy="1" level="1">
      <sharedItems containsSemiMixedTypes="0" containsNonDate="0" containsString="0"/>
    </cacheField>
    <cacheField name="[Sheet].[patient attain status].[patient attain status]" caption="patient attain status" numFmtId="0" hierarchy="17" level="1">
      <sharedItems count="2">
        <s v="Delay"/>
        <s v="Ontime"/>
      </sharedItems>
    </cacheField>
    <cacheField name="[Measures].[Count of patient attain status]" caption="Count of patient attain status" numFmtId="0" hierarchy="29" level="32767"/>
    <cacheField name="[calendar table].[Date (Year)].[Date (Year)]" caption="Date (Year)" numFmtId="0" hierarchy="3" level="1">
      <sharedItems containsSemiMixedTypes="0" containsNonDate="0" containsString="0"/>
    </cacheField>
  </cacheFields>
  <cacheHierarchies count="34">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0"/>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Sheet].[Patient Id]" caption="Patient Id" attribute="1" defaultMemberUniqueName="[Sheet].[Patient Id].[All]" allUniqueName="[Sheet].[Patient Id].[All]" dimensionUniqueName="[Sheet]" displayFolder="" count="0" memberValueDatatype="130" unbalanced="0"/>
    <cacheHierarchy uniqueName="[Sheet].[Patient Admission Date]" caption="Patient Admission Date" attribute="1" time="1" defaultMemberUniqueName="[Sheet].[Patient Admission Date].[All]" allUniqueName="[Sheet].[Patient Admission Date].[All]" dimensionUniqueName="[Sheet]" displayFolder="" count="0" memberValueDatatype="7" unbalanced="0"/>
    <cacheHierarchy uniqueName="[Sheet].[Patient Admission Time]" caption="Patient Admission Time" attribute="1" time="1" defaultMemberUniqueName="[Sheet].[Patient Admission Time].[All]" allUniqueName="[Sheet].[Patient Admission Time].[All]" dimensionUniqueName="[Sheet]" displayFolder="" count="0" memberValueDatatype="7" unbalanced="0"/>
    <cacheHierarchy uniqueName="[Sheet].[Merged]" caption="Merged" attribute="1" defaultMemberUniqueName="[Sheet].[Merged].[All]" allUniqueName="[Sheet].[Merged].[All]" dimensionUniqueName="[Sheet]" displayFolder="" count="0" memberValueDatatype="130" unbalanced="0"/>
    <cacheHierarchy uniqueName="[Sheet].[Patient Gender]" caption="Patient Gender" attribute="1" defaultMemberUniqueName="[Sheet].[Patient Gender].[All]" allUniqueName="[Sheet].[Patient Gender].[All]" dimensionUniqueName="[Sheet]" displayFolder="" count="0" memberValueDatatype="130" unbalanced="0"/>
    <cacheHierarchy uniqueName="[Sheet].[Patient Age]" caption="Patient Age" attribute="1" defaultMemberUniqueName="[Sheet].[Patient Age].[All]" allUniqueName="[Sheet].[Patient Age].[All]" dimensionUniqueName="[Sheet]" displayFolder="" count="0" memberValueDatatype="20" unbalanced="0"/>
    <cacheHierarchy uniqueName="[Sheet].[Patient Race]" caption="Patient Race" attribute="1" defaultMemberUniqueName="[Sheet].[Patient Race].[All]" allUniqueName="[Sheet].[Patient Race].[All]" dimensionUniqueName="[Sheet]" displayFolder="" count="0" memberValueDatatype="130" unbalanced="0"/>
    <cacheHierarchy uniqueName="[Sheet].[Department Referral]" caption="Department Referral" attribute="1" defaultMemberUniqueName="[Sheet].[Department Referral].[All]" allUniqueName="[Sheet].[Department Referral].[All]" dimensionUniqueName="[Sheet]" displayFolder="" count="0" memberValueDatatype="130" unbalanced="0"/>
    <cacheHierarchy uniqueName="[Sheet].[Patient Admission Flag]" caption="Patient Admission Flag" attribute="1" defaultMemberUniqueName="[Sheet].[Patient Admission Flag].[All]" allUniqueName="[Sheet].[Patient Admission Flag].[All]" dimensionUniqueName="[Sheet]" displayFolder="" count="0" memberValueDatatype="130" unbalanced="0"/>
    <cacheHierarchy uniqueName="[Sheet].[Patient Satisfaction Score]" caption="Patient Satisfaction Score" attribute="1" defaultMemberUniqueName="[Sheet].[Patient Satisfaction Score].[All]" allUniqueName="[Sheet].[Patient Satisfaction Score].[All]" dimensionUniqueName="[Sheet]" displayFolder="" count="0" memberValueDatatype="20" unbalanced="0"/>
    <cacheHierarchy uniqueName="[Sheet].[Patient Waittime]" caption="Patient Waittime" attribute="1" defaultMemberUniqueName="[Sheet].[Patient Waittime].[All]" allUniqueName="[Sheet].[Patient Waittime].[All]" dimensionUniqueName="[Sheet]" displayFolder="" count="0" memberValueDatatype="20" unbalanced="0"/>
    <cacheHierarchy uniqueName="[Sheet].[Age group]" caption="Age group" attribute="1" defaultMemberUniqueName="[Sheet].[Age group].[All]" allUniqueName="[Sheet].[Age group].[All]" dimensionUniqueName="[Sheet]" displayFolder="" count="0" memberValueDatatype="130" unbalanced="0"/>
    <cacheHierarchy uniqueName="[Sheet].[patient attain status]" caption="patient attain status" attribute="1" defaultMemberUniqueName="[Sheet].[patient attain status].[All]" allUniqueName="[Sheet].[patient attain status].[All]" dimensionUniqueName="[Sheet]" displayFolder="" count="2" memberValueDatatype="130" unbalanced="0">
      <fieldsUsage count="2">
        <fieldUsage x="-1"/>
        <fieldUsage x="1"/>
      </fieldsUsage>
    </cacheHierarchy>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Sheet]" caption="__XL_Count Sheet" measure="1" displayFolder="" measureGroup="Sheet"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Sheet"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Sheet"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Sheet"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Sheet"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Sheet"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Sheet" count="0" hidden="1">
      <extLst>
        <ext xmlns:x15="http://schemas.microsoft.com/office/spreadsheetml/2010/11/main" uri="{B97F6D7D-B522-45F9-BDA1-12C45D357490}">
          <x15:cacheHierarchy aggregatedColumn="14"/>
        </ext>
      </extLst>
    </cacheHierarchy>
    <cacheHierarchy uniqueName="[Measures].[Count of patient attain status]" caption="Count of patient attain status" measure="1" displayFolder="" measureGroup="Sheet"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Sheet"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Sheet"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Sheet"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Sheet"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measure="1" name="Measures" uniqueName="[Measures]" caption="Measures"/>
    <dimension name="Sheet" uniqueName="[Sheet]" caption="Sheet"/>
  </dimensions>
  <measureGroups count="2">
    <measureGroup name="calendar table" caption="calendar table"/>
    <measureGroup name="Sheet" caption="Sheet"/>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94.60921840278" createdVersion="5" refreshedVersion="8" minRefreshableVersion="3" recordCount="0" supportSubquery="1" supportAdvancedDrill="1" xr:uid="{055E0F7F-0BB2-47BC-9874-BAD4B86F1EB4}">
  <cacheSource type="external" connectionId="3"/>
  <cacheFields count="4">
    <cacheField name="[calendar table].[Date (Month)].[Date (Month)]" caption="Date (Month)" numFmtId="0" hierarchy="1" level="1">
      <sharedItems containsSemiMixedTypes="0" containsNonDate="0" containsString="0"/>
    </cacheField>
    <cacheField name="[Sheet].[Patient Gender].[Patient Gender]" caption="Patient Gender" numFmtId="0" hierarchy="9" level="1">
      <sharedItems count="2">
        <s v="Female"/>
        <s v="Male"/>
      </sharedItems>
    </cacheField>
    <cacheField name="[Measures].[Count of Patient Gender]" caption="Count of Patient Gender" numFmtId="0" hierarchy="32" level="32767"/>
    <cacheField name="[calendar table].[Date (Year)].[Date (Year)]" caption="Date (Year)" numFmtId="0" hierarchy="3" level="1">
      <sharedItems containsSemiMixedTypes="0" containsNonDate="0" containsString="0"/>
    </cacheField>
  </cacheFields>
  <cacheHierarchies count="34">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0"/>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Sheet].[Patient Id]" caption="Patient Id" attribute="1" defaultMemberUniqueName="[Sheet].[Patient Id].[All]" allUniqueName="[Sheet].[Patient Id].[All]" dimensionUniqueName="[Sheet]" displayFolder="" count="0" memberValueDatatype="130" unbalanced="0"/>
    <cacheHierarchy uniqueName="[Sheet].[Patient Admission Date]" caption="Patient Admission Date" attribute="1" time="1" defaultMemberUniqueName="[Sheet].[Patient Admission Date].[All]" allUniqueName="[Sheet].[Patient Admission Date].[All]" dimensionUniqueName="[Sheet]" displayFolder="" count="0" memberValueDatatype="7" unbalanced="0"/>
    <cacheHierarchy uniqueName="[Sheet].[Patient Admission Time]" caption="Patient Admission Time" attribute="1" time="1" defaultMemberUniqueName="[Sheet].[Patient Admission Time].[All]" allUniqueName="[Sheet].[Patient Admission Time].[All]" dimensionUniqueName="[Sheet]" displayFolder="" count="0" memberValueDatatype="7" unbalanced="0"/>
    <cacheHierarchy uniqueName="[Sheet].[Merged]" caption="Merged" attribute="1" defaultMemberUniqueName="[Sheet].[Merged].[All]" allUniqueName="[Sheet].[Merged].[All]" dimensionUniqueName="[Sheet]" displayFolder="" count="0" memberValueDatatype="130" unbalanced="0"/>
    <cacheHierarchy uniqueName="[Sheet].[Patient Gender]" caption="Patient Gender" attribute="1" defaultMemberUniqueName="[Sheet].[Patient Gender].[All]" allUniqueName="[Sheet].[Patient Gender].[All]" dimensionUniqueName="[Sheet]" displayFolder="" count="2" memberValueDatatype="130" unbalanced="0">
      <fieldsUsage count="2">
        <fieldUsage x="-1"/>
        <fieldUsage x="1"/>
      </fieldsUsage>
    </cacheHierarchy>
    <cacheHierarchy uniqueName="[Sheet].[Patient Age]" caption="Patient Age" attribute="1" defaultMemberUniqueName="[Sheet].[Patient Age].[All]" allUniqueName="[Sheet].[Patient Age].[All]" dimensionUniqueName="[Sheet]" displayFolder="" count="0" memberValueDatatype="20" unbalanced="0"/>
    <cacheHierarchy uniqueName="[Sheet].[Patient Race]" caption="Patient Race" attribute="1" defaultMemberUniqueName="[Sheet].[Patient Race].[All]" allUniqueName="[Sheet].[Patient Race].[All]" dimensionUniqueName="[Sheet]" displayFolder="" count="0" memberValueDatatype="130" unbalanced="0"/>
    <cacheHierarchy uniqueName="[Sheet].[Department Referral]" caption="Department Referral" attribute="1" defaultMemberUniqueName="[Sheet].[Department Referral].[All]" allUniqueName="[Sheet].[Department Referral].[All]" dimensionUniqueName="[Sheet]" displayFolder="" count="0" memberValueDatatype="130" unbalanced="0"/>
    <cacheHierarchy uniqueName="[Sheet].[Patient Admission Flag]" caption="Patient Admission Flag" attribute="1" defaultMemberUniqueName="[Sheet].[Patient Admission Flag].[All]" allUniqueName="[Sheet].[Patient Admission Flag].[All]" dimensionUniqueName="[Sheet]" displayFolder="" count="0" memberValueDatatype="130" unbalanced="0"/>
    <cacheHierarchy uniqueName="[Sheet].[Patient Satisfaction Score]" caption="Patient Satisfaction Score" attribute="1" defaultMemberUniqueName="[Sheet].[Patient Satisfaction Score].[All]" allUniqueName="[Sheet].[Patient Satisfaction Score].[All]" dimensionUniqueName="[Sheet]" displayFolder="" count="0" memberValueDatatype="20" unbalanced="0"/>
    <cacheHierarchy uniqueName="[Sheet].[Patient Waittime]" caption="Patient Waittime" attribute="1" defaultMemberUniqueName="[Sheet].[Patient Waittime].[All]" allUniqueName="[Sheet].[Patient Waittime].[All]" dimensionUniqueName="[Sheet]" displayFolder="" count="0" memberValueDatatype="20" unbalanced="0"/>
    <cacheHierarchy uniqueName="[Sheet].[Age group]" caption="Age group" attribute="1" defaultMemberUniqueName="[Sheet].[Age group].[All]" allUniqueName="[Sheet].[Age group].[All]" dimensionUniqueName="[Sheet]" displayFolder="" count="0" memberValueDatatype="130" unbalanced="0"/>
    <cacheHierarchy uniqueName="[Sheet].[patient attain status]" caption="patient attain status" attribute="1" defaultMemberUniqueName="[Sheet].[patient attain status].[All]" allUniqueName="[Sheet].[patient attain status].[All]" dimensionUniqueName="[Sheet]"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Sheet]" caption="__XL_Count Sheet" measure="1" displayFolder="" measureGroup="Sheet"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Sheet"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Sheet"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Sheet"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Sheet"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Sheet"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Sheet" count="0" hidden="1">
      <extLst>
        <ext xmlns:x15="http://schemas.microsoft.com/office/spreadsheetml/2010/11/main" uri="{B97F6D7D-B522-45F9-BDA1-12C45D357490}">
          <x15:cacheHierarchy aggregatedColumn="14"/>
        </ext>
      </extLst>
    </cacheHierarchy>
    <cacheHierarchy uniqueName="[Measures].[Count of patient attain status]" caption="Count of patient attain status" measure="1" displayFolder="" measureGroup="Sheet"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Sheet"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Sheet"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Sheet"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Sheet"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measure="1" name="Measures" uniqueName="[Measures]" caption="Measures"/>
    <dimension name="Sheet" uniqueName="[Sheet]" caption="Sheet"/>
  </dimensions>
  <measureGroups count="2">
    <measureGroup name="calendar table" caption="calendar table"/>
    <measureGroup name="Sheet" caption="Sheet"/>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94.609218750003" createdVersion="5" refreshedVersion="8" minRefreshableVersion="3" recordCount="0" supportSubquery="1" supportAdvancedDrill="1" xr:uid="{0589B817-C5F3-455B-ACF8-33FCCBBF35D2}">
  <cacheSource type="external" connectionId="3"/>
  <cacheFields count="4">
    <cacheField name="[calendar table].[Date (Month)].[Date (Month)]" caption="Date (Month)" numFmtId="0" hierarchy="1" level="1">
      <sharedItems containsSemiMixedTypes="0" containsNonDate="0" containsString="0"/>
    </cacheField>
    <cacheField name="[Sheet].[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ar table].[Date (Year)].[Date (Year)]" caption="Date (Year)" numFmtId="0" hierarchy="3" level="1">
      <sharedItems containsSemiMixedTypes="0" containsNonDate="0" containsString="0"/>
    </cacheField>
  </cacheFields>
  <cacheHierarchies count="34">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0"/>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Sheet].[Patient Id]" caption="Patient Id" attribute="1" defaultMemberUniqueName="[Sheet].[Patient Id].[All]" allUniqueName="[Sheet].[Patient Id].[All]" dimensionUniqueName="[Sheet]" displayFolder="" count="0" memberValueDatatype="130" unbalanced="0"/>
    <cacheHierarchy uniqueName="[Sheet].[Patient Admission Date]" caption="Patient Admission Date" attribute="1" time="1" defaultMemberUniqueName="[Sheet].[Patient Admission Date].[All]" allUniqueName="[Sheet].[Patient Admission Date].[All]" dimensionUniqueName="[Sheet]" displayFolder="" count="0" memberValueDatatype="7" unbalanced="0"/>
    <cacheHierarchy uniqueName="[Sheet].[Patient Admission Time]" caption="Patient Admission Time" attribute="1" time="1" defaultMemberUniqueName="[Sheet].[Patient Admission Time].[All]" allUniqueName="[Sheet].[Patient Admission Time].[All]" dimensionUniqueName="[Sheet]" displayFolder="" count="0" memberValueDatatype="7" unbalanced="0"/>
    <cacheHierarchy uniqueName="[Sheet].[Merged]" caption="Merged" attribute="1" defaultMemberUniqueName="[Sheet].[Merged].[All]" allUniqueName="[Sheet].[Merged].[All]" dimensionUniqueName="[Sheet]" displayFolder="" count="0" memberValueDatatype="130" unbalanced="0"/>
    <cacheHierarchy uniqueName="[Sheet].[Patient Gender]" caption="Patient Gender" attribute="1" defaultMemberUniqueName="[Sheet].[Patient Gender].[All]" allUniqueName="[Sheet].[Patient Gender].[All]" dimensionUniqueName="[Sheet]" displayFolder="" count="0" memberValueDatatype="130" unbalanced="0"/>
    <cacheHierarchy uniqueName="[Sheet].[Patient Age]" caption="Patient Age" attribute="1" defaultMemberUniqueName="[Sheet].[Patient Age].[All]" allUniqueName="[Sheet].[Patient Age].[All]" dimensionUniqueName="[Sheet]" displayFolder="" count="0" memberValueDatatype="20" unbalanced="0"/>
    <cacheHierarchy uniqueName="[Sheet].[Patient Race]" caption="Patient Race" attribute="1" defaultMemberUniqueName="[Sheet].[Patient Race].[All]" allUniqueName="[Sheet].[Patient Race].[All]" dimensionUniqueName="[Sheet]" displayFolder="" count="0" memberValueDatatype="130" unbalanced="0"/>
    <cacheHierarchy uniqueName="[Sheet].[Department Referral]" caption="Department Referral" attribute="1" defaultMemberUniqueName="[Sheet].[Department Referral].[All]" allUniqueName="[Sheet].[Department Referral].[All]" dimensionUniqueName="[Sheet]" displayFolder="" count="2" memberValueDatatype="130" unbalanced="0">
      <fieldsUsage count="2">
        <fieldUsage x="-1"/>
        <fieldUsage x="1"/>
      </fieldsUsage>
    </cacheHierarchy>
    <cacheHierarchy uniqueName="[Sheet].[Patient Admission Flag]" caption="Patient Admission Flag" attribute="1" defaultMemberUniqueName="[Sheet].[Patient Admission Flag].[All]" allUniqueName="[Sheet].[Patient Admission Flag].[All]" dimensionUniqueName="[Sheet]" displayFolder="" count="0" memberValueDatatype="130" unbalanced="0"/>
    <cacheHierarchy uniqueName="[Sheet].[Patient Satisfaction Score]" caption="Patient Satisfaction Score" attribute="1" defaultMemberUniqueName="[Sheet].[Patient Satisfaction Score].[All]" allUniqueName="[Sheet].[Patient Satisfaction Score].[All]" dimensionUniqueName="[Sheet]" displayFolder="" count="0" memberValueDatatype="20" unbalanced="0"/>
    <cacheHierarchy uniqueName="[Sheet].[Patient Waittime]" caption="Patient Waittime" attribute="1" defaultMemberUniqueName="[Sheet].[Patient Waittime].[All]" allUniqueName="[Sheet].[Patient Waittime].[All]" dimensionUniqueName="[Sheet]" displayFolder="" count="0" memberValueDatatype="20" unbalanced="0"/>
    <cacheHierarchy uniqueName="[Sheet].[Age group]" caption="Age group" attribute="1" defaultMemberUniqueName="[Sheet].[Age group].[All]" allUniqueName="[Sheet].[Age group].[All]" dimensionUniqueName="[Sheet]" displayFolder="" count="0" memberValueDatatype="130" unbalanced="0"/>
    <cacheHierarchy uniqueName="[Sheet].[patient attain status]" caption="patient attain status" attribute="1" defaultMemberUniqueName="[Sheet].[patient attain status].[All]" allUniqueName="[Sheet].[patient attain status].[All]" dimensionUniqueName="[Sheet]"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Sheet]" caption="__XL_Count Sheet" measure="1" displayFolder="" measureGroup="Sheet"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Sheet"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Sheet"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Sheet"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Sheet"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Sheet"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Sheet" count="0" hidden="1">
      <extLst>
        <ext xmlns:x15="http://schemas.microsoft.com/office/spreadsheetml/2010/11/main" uri="{B97F6D7D-B522-45F9-BDA1-12C45D357490}">
          <x15:cacheHierarchy aggregatedColumn="14"/>
        </ext>
      </extLst>
    </cacheHierarchy>
    <cacheHierarchy uniqueName="[Measures].[Count of patient attain status]" caption="Count of patient attain status" measure="1" displayFolder="" measureGroup="Sheet"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Sheet"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Sheet"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Sheet"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Sheet"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measure="1" name="Measures" uniqueName="[Measures]" caption="Measures"/>
    <dimension name="Sheet" uniqueName="[Sheet]" caption="Sheet"/>
  </dimensions>
  <measureGroups count="2">
    <measureGroup name="calendar table" caption="calendar table"/>
    <measureGroup name="Sheet" caption="Sheet"/>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94.609219212965" createdVersion="5" refreshedVersion="8" minRefreshableVersion="3" recordCount="0" supportSubquery="1" supportAdvancedDrill="1" xr:uid="{AD7DC309-9594-4D83-B7AE-6FF1424F715E}">
  <cacheSource type="external" connectionId="3"/>
  <cacheFields count="4">
    <cacheField name="[calendar table].[Date (Month)].[Date (Month)]" caption="Date (Month)" numFmtId="0" hierarchy="1" level="1">
      <sharedItems count="1">
        <s v="Jun"/>
      </sharedItems>
    </cacheField>
    <cacheField name="[calendar table].[Date].[Date]" caption="Date" numFmtId="0" level="1">
      <sharedItems containsSemiMixedTypes="0" containsNonDate="0" containsDate="1" containsString="0" minDate="2023-06-01T00:00:00" maxDate="2024-07-01T00:00:00" count="6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sharedItems>
    </cacheField>
    <cacheField name="[calendar table].[Date (Quarter)].[Date (Quarter)]" caption="Date (Quarter)" numFmtId="0" hierarchy="4" level="1">
      <sharedItems count="1">
        <s v="Qtr2"/>
      </sharedItems>
    </cacheField>
    <cacheField name="[calendar table].[Date (Year)].[Date (Year)]" caption="Date (Year)" numFmtId="0" hierarchy="3" level="1">
      <sharedItems count="1">
        <s v="2024"/>
      </sharedItems>
    </cacheField>
  </cacheFields>
  <cacheHierarchies count="34">
    <cacheHierarchy uniqueName="[calendar table].[Date]" caption="Date" attribute="1" time="1" defaultMemberUniqueName="[calendar table].[Date].[All]" allUniqueName="[calendar table].[Date].[All]" dimensionUniqueName="[calendar table]" displayFolder="" count="2" memberValueDatatype="7" unbalanced="0">
      <fieldsUsage count="2">
        <fieldUsage x="-1"/>
        <fieldUsage x="1"/>
      </fieldsUsage>
    </cacheHierarchy>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0"/>
      </fieldsUsage>
    </cacheHierarchy>
    <cacheHierarchy uniqueName="[calendar table].[Date (Day)]" caption="Date (Day)" attribute="1" defaultMemberUniqueName="[calendar table].[Date (Day)].[All]" allUniqueName="[calendar table].[Date (Day)].[All]" dimensionUniqueName="[calendar table]" displayFolder="" count="2"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2" memberValueDatatype="130" unbalanced="0">
      <fieldsUsage count="2">
        <fieldUsage x="-1"/>
        <fieldUsage x="2"/>
      </fieldsUsage>
    </cacheHierarchy>
    <cacheHierarchy uniqueName="[Sheet].[Patient Id]" caption="Patient Id" attribute="1" defaultMemberUniqueName="[Sheet].[Patient Id].[All]" allUniqueName="[Sheet].[Patient Id].[All]" dimensionUniqueName="[Sheet]" displayFolder="" count="2" memberValueDatatype="130" unbalanced="0"/>
    <cacheHierarchy uniqueName="[Sheet].[Patient Admission Date]" caption="Patient Admission Date" attribute="1" time="1" defaultMemberUniqueName="[Sheet].[Patient Admission Date].[All]" allUniqueName="[Sheet].[Patient Admission Date].[All]" dimensionUniqueName="[Sheet]" displayFolder="" count="2" memberValueDatatype="7" unbalanced="0"/>
    <cacheHierarchy uniqueName="[Sheet].[Patient Admission Time]" caption="Patient Admission Time" attribute="1" time="1" defaultMemberUniqueName="[Sheet].[Patient Admission Time].[All]" allUniqueName="[Sheet].[Patient Admission Time].[All]" dimensionUniqueName="[Sheet]" displayFolder="" count="2" memberValueDatatype="7" unbalanced="0"/>
    <cacheHierarchy uniqueName="[Sheet].[Merged]" caption="Merged" attribute="1" defaultMemberUniqueName="[Sheet].[Merged].[All]" allUniqueName="[Sheet].[Merged].[All]" dimensionUniqueName="[Sheet]" displayFolder="" count="2" memberValueDatatype="130" unbalanced="0"/>
    <cacheHierarchy uniqueName="[Sheet].[Patient Gender]" caption="Patient Gender" attribute="1" defaultMemberUniqueName="[Sheet].[Patient Gender].[All]" allUniqueName="[Sheet].[Patient Gender].[All]" dimensionUniqueName="[Sheet]" displayFolder="" count="2" memberValueDatatype="130" unbalanced="0"/>
    <cacheHierarchy uniqueName="[Sheet].[Patient Age]" caption="Patient Age" attribute="1" defaultMemberUniqueName="[Sheet].[Patient Age].[All]" allUniqueName="[Sheet].[Patient Age].[All]" dimensionUniqueName="[Sheet]" displayFolder="" count="2" memberValueDatatype="20" unbalanced="0"/>
    <cacheHierarchy uniqueName="[Sheet].[Patient Race]" caption="Patient Race" attribute="1" defaultMemberUniqueName="[Sheet].[Patient Race].[All]" allUniqueName="[Sheet].[Patient Race].[All]" dimensionUniqueName="[Sheet]" displayFolder="" count="2" memberValueDatatype="130" unbalanced="0"/>
    <cacheHierarchy uniqueName="[Sheet].[Department Referral]" caption="Department Referral" attribute="1" defaultMemberUniqueName="[Sheet].[Department Referral].[All]" allUniqueName="[Sheet].[Department Referral].[All]" dimensionUniqueName="[Sheet]" displayFolder="" count="2" memberValueDatatype="130" unbalanced="0"/>
    <cacheHierarchy uniqueName="[Sheet].[Patient Admission Flag]" caption="Patient Admission Flag" attribute="1" defaultMemberUniqueName="[Sheet].[Patient Admission Flag].[All]" allUniqueName="[Sheet].[Patient Admission Flag].[All]" dimensionUniqueName="[Sheet]" displayFolder="" count="2" memberValueDatatype="130" unbalanced="0"/>
    <cacheHierarchy uniqueName="[Sheet].[Patient Satisfaction Score]" caption="Patient Satisfaction Score" attribute="1" defaultMemberUniqueName="[Sheet].[Patient Satisfaction Score].[All]" allUniqueName="[Sheet].[Patient Satisfaction Score].[All]" dimensionUniqueName="[Sheet]" displayFolder="" count="2" memberValueDatatype="20" unbalanced="0"/>
    <cacheHierarchy uniqueName="[Sheet].[Patient Waittime]" caption="Patient Waittime" attribute="1" defaultMemberUniqueName="[Sheet].[Patient Waittime].[All]" allUniqueName="[Sheet].[Patient Waittime].[All]" dimensionUniqueName="[Sheet]" displayFolder="" count="2" memberValueDatatype="20" unbalanced="0"/>
    <cacheHierarchy uniqueName="[Sheet].[Age group]" caption="Age group" attribute="1" defaultMemberUniqueName="[Sheet].[Age group].[All]" allUniqueName="[Sheet].[Age group].[All]" dimensionUniqueName="[Sheet]" displayFolder="" count="2" memberValueDatatype="130" unbalanced="0"/>
    <cacheHierarchy uniqueName="[Sheet].[patient attain status]" caption="patient attain status" attribute="1" defaultMemberUniqueName="[Sheet].[patient attain status].[All]" allUniqueName="[Sheet].[patient attain status].[All]" dimensionUniqueName="[Sheet]" displayFolder="" count="2" memberValueDatatype="130" unbalanced="0"/>
    <cacheHierarchy uniqueName="[calendar table].[Date (Day Index)]" caption="Date (Day Index)" attribute="1" defaultMemberUniqueName="[calendar table].[Date (Day Index)].[All]" allUniqueName="[calendar table].[Date (Day Index)].[All]" dimensionUniqueName="[calendar table]" displayFolder="" count="2"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2" memberValueDatatype="20" unbalanced="0" hidden="1"/>
    <cacheHierarchy uniqueName="[Measures].[__XL_Count Sheet]" caption="__XL_Count Sheet" measure="1" displayFolder="" measureGroup="Sheet"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Sheet"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Sheet"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Sheet"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Sheet"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Sheet"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Sheet" count="0" hidden="1">
      <extLst>
        <ext xmlns:x15="http://schemas.microsoft.com/office/spreadsheetml/2010/11/main" uri="{B97F6D7D-B522-45F9-BDA1-12C45D357490}">
          <x15:cacheHierarchy aggregatedColumn="14"/>
        </ext>
      </extLst>
    </cacheHierarchy>
    <cacheHierarchy uniqueName="[Measures].[Count of patient attain status]" caption="Count of patient attain status" measure="1" displayFolder="" measureGroup="Sheet"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Sheet"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Sheet"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Sheet"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Sheet"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measure="1" name="Measures" uniqueName="[Measures]" caption="Measures"/>
    <dimension name="Sheet" uniqueName="[Sheet]" caption="Sheet"/>
  </dimensions>
  <measureGroups count="2">
    <measureGroup name="calendar table" caption="calendar table"/>
    <measureGroup name="Sheet" caption="Sheet"/>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94.603527546293" createdVersion="3" refreshedVersion="8" minRefreshableVersion="3" recordCount="0" supportSubquery="1" supportAdvancedDrill="1" xr:uid="{53B427E6-857A-4C28-B0ED-E78B1804961E}">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Sheet].[Patient Id]" caption="Patient Id" attribute="1" defaultMemberUniqueName="[Sheet].[Patient Id].[All]" allUniqueName="[Sheet].[Patient Id].[All]" dimensionUniqueName="[Sheet]" displayFolder="" count="0" memberValueDatatype="130" unbalanced="0"/>
    <cacheHierarchy uniqueName="[Sheet].[Patient Admission Date]" caption="Patient Admission Date" attribute="1" time="1" defaultMemberUniqueName="[Sheet].[Patient Admission Date].[All]" allUniqueName="[Sheet].[Patient Admission Date].[All]" dimensionUniqueName="[Sheet]" displayFolder="" count="0" memberValueDatatype="7" unbalanced="0"/>
    <cacheHierarchy uniqueName="[Sheet].[Patient Admission Time]" caption="Patient Admission Time" attribute="1" time="1" defaultMemberUniqueName="[Sheet].[Patient Admission Time].[All]" allUniqueName="[Sheet].[Patient Admission Time].[All]" dimensionUniqueName="[Sheet]" displayFolder="" count="0" memberValueDatatype="7" unbalanced="0"/>
    <cacheHierarchy uniqueName="[Sheet].[Merged]" caption="Merged" attribute="1" defaultMemberUniqueName="[Sheet].[Merged].[All]" allUniqueName="[Sheet].[Merged].[All]" dimensionUniqueName="[Sheet]" displayFolder="" count="0" memberValueDatatype="130" unbalanced="0"/>
    <cacheHierarchy uniqueName="[Sheet].[Patient Gender]" caption="Patient Gender" attribute="1" defaultMemberUniqueName="[Sheet].[Patient Gender].[All]" allUniqueName="[Sheet].[Patient Gender].[All]" dimensionUniqueName="[Sheet]" displayFolder="" count="0" memberValueDatatype="130" unbalanced="0"/>
    <cacheHierarchy uniqueName="[Sheet].[Patient Age]" caption="Patient Age" attribute="1" defaultMemberUniqueName="[Sheet].[Patient Age].[All]" allUniqueName="[Sheet].[Patient Age].[All]" dimensionUniqueName="[Sheet]" displayFolder="" count="0" memberValueDatatype="20" unbalanced="0"/>
    <cacheHierarchy uniqueName="[Sheet].[Patient Race]" caption="Patient Race" attribute="1" defaultMemberUniqueName="[Sheet].[Patient Race].[All]" allUniqueName="[Sheet].[Patient Race].[All]" dimensionUniqueName="[Sheet]" displayFolder="" count="0" memberValueDatatype="130" unbalanced="0"/>
    <cacheHierarchy uniqueName="[Sheet].[Department Referral]" caption="Department Referral" attribute="1" defaultMemberUniqueName="[Sheet].[Department Referral].[All]" allUniqueName="[Sheet].[Department Referral].[All]" dimensionUniqueName="[Sheet]" displayFolder="" count="0" memberValueDatatype="130" unbalanced="0"/>
    <cacheHierarchy uniqueName="[Sheet].[Patient Admission Flag]" caption="Patient Admission Flag" attribute="1" defaultMemberUniqueName="[Sheet].[Patient Admission Flag].[All]" allUniqueName="[Sheet].[Patient Admission Flag].[All]" dimensionUniqueName="[Sheet]" displayFolder="" count="0" memberValueDatatype="130" unbalanced="0"/>
    <cacheHierarchy uniqueName="[Sheet].[Patient Satisfaction Score]" caption="Patient Satisfaction Score" attribute="1" defaultMemberUniqueName="[Sheet].[Patient Satisfaction Score].[All]" allUniqueName="[Sheet].[Patient Satisfaction Score].[All]" dimensionUniqueName="[Sheet]" displayFolder="" count="0" memberValueDatatype="20" unbalanced="0"/>
    <cacheHierarchy uniqueName="[Sheet].[Patient Waittime]" caption="Patient Waittime" attribute="1" defaultMemberUniqueName="[Sheet].[Patient Waittime].[All]" allUniqueName="[Sheet].[Patient Waittime].[All]" dimensionUniqueName="[Sheet]" displayFolder="" count="0" memberValueDatatype="20" unbalanced="0"/>
    <cacheHierarchy uniqueName="[Sheet].[Age group]" caption="Age group" attribute="1" defaultMemberUniqueName="[Sheet].[Age group].[All]" allUniqueName="[Sheet].[Age group].[All]" dimensionUniqueName="[Sheet]" displayFolder="" count="0" memberValueDatatype="130" unbalanced="0"/>
    <cacheHierarchy uniqueName="[Sheet].[patient attain status]" caption="patient attain status" attribute="1" defaultMemberUniqueName="[Sheet].[patient attain status].[All]" allUniqueName="[Sheet].[patient attain status].[All]" dimensionUniqueName="[Sheet]"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Sheet]" caption="__XL_Count Sheet" measure="1" displayFolder="" measureGroup="Sheet"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Sheet"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Sheet"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Sheet"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Sheet"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Sheet"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Sheet" count="0" hidden="1">
      <extLst>
        <ext xmlns:x15="http://schemas.microsoft.com/office/spreadsheetml/2010/11/main" uri="{B97F6D7D-B522-45F9-BDA1-12C45D357490}">
          <x15:cacheHierarchy aggregatedColumn="14"/>
        </ext>
      </extLst>
    </cacheHierarchy>
    <cacheHierarchy uniqueName="[Measures].[Count of patient attain status]" caption="Count of patient attain status" measure="1" displayFolder="" measureGroup="Sheet"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Sheet"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Sheet"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Sheet"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Sheet"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68414108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B3CBF71-8D7B-4866-9BC8-38EEB47409E8}" name="PivotTable4" cacheId="0" applyNumberFormats="0" applyBorderFormats="0" applyFontFormats="0" applyPatternFormats="0" applyAlignmentFormats="0" applyWidthHeightFormats="1" dataCaption="Values" tag="bc95995a-619a-494f-9d3a-95efa5507178" updatedVersion="8" minRefreshableVersion="3" subtotalHiddenItems="1" itemPrintTitles="1" createdVersion="5" indent="0" outline="1" outlineData="1" multipleFieldFilters="0" chartFormat="10">
  <location ref="G7:H37" firstHeaderRow="1" firstDataRow="1" firstDataCol="1"/>
  <pivotFields count="4">
    <pivotField dataField="1" subtotalTop="0" showAll="0" defaultSubtotal="0"/>
    <pivotField axis="axisRow" allDrilled="1"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3">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 table].[Date (Month)].&amp;[Feb]"/>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8329E2A-AEBF-422E-8BCC-443C6C18428B}" name="PivotTable8" cacheId="7" applyNumberFormats="0" applyBorderFormats="0" applyFontFormats="0" applyPatternFormats="0" applyAlignmentFormats="0" applyWidthHeightFormats="1" dataCaption="Values" tag="5fffec27-c9cf-4570-b505-5aef854696eb" updatedVersion="8" minRefreshableVersion="3" subtotalHiddenItems="1" itemPrintTitles="1" createdVersion="5" indent="0" outline="1" outlineData="1" multipleFieldFilters="0" chartFormat="10">
  <location ref="B55:C64"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2">
    <format dxfId="1">
      <pivotArea outline="0" collapsedLevelsAreSubtotals="1" fieldPosition="0"/>
    </format>
    <format dxfId="0">
      <pivotArea collapsedLevelsAreSubtotals="1" fieldPosition="0">
        <references count="1">
          <reference field="1" count="0"/>
        </references>
      </pivotArea>
    </format>
  </formats>
  <chartFormats count="1">
    <chartFormat chart="6"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 table].[Date (Month)].&amp;[Feb]"/>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6908107-F287-4044-B79E-A7E2E1667E3E}" name="PivotTable2" cacheId="2" applyNumberFormats="0" applyBorderFormats="0" applyFontFormats="0" applyPatternFormats="0" applyAlignmentFormats="0" applyWidthHeightFormats="1" dataCaption="Values" tag="47e3de22-55f1-45ce-b017-66af2021c421" updatedVersion="8" minRefreshableVersion="3" subtotalHiddenItems="1" itemPrintTitles="1" createdVersion="5" indent="0" outline="1" outlineData="1" multipleFieldFilters="0">
  <location ref="B9:B10"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2">
      <pivotArea outline="0" collapsedLevelsAreSubtotals="1" fieldPosition="0"/>
    </format>
  </formats>
  <pivotHierarchies count="34">
    <pivotHierarchy dragToData="1"/>
    <pivotHierarchy multipleItemSelectionAllowed="1" dragToData="1">
      <members count="1" level="1">
        <member name="[calendar table].[Date (Month)].&amp;[Feb]"/>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97D8C18-12AB-47EC-947C-AA3258550792}" name="PivotTable7" cacheId="6" applyNumberFormats="0" applyBorderFormats="0" applyFontFormats="0" applyPatternFormats="0" applyAlignmentFormats="0" applyWidthHeightFormats="1" dataCaption="Values" tag="5fffec27-c9cf-4570-b505-5aef854696eb" updatedVersion="8" minRefreshableVersion="3" subtotalHiddenItems="1" itemPrintTitles="1" createdVersion="5" indent="0" outline="1" outlineData="1" multipleFieldFilters="0" chartFormat="4">
  <location ref="B41:D44"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2" fld="1" subtotal="count" baseField="0" baseItem="0">
      <extLst>
        <ext xmlns:x14="http://schemas.microsoft.com/office/spreadsheetml/2009/9/main" uri="{E15A36E0-9728-4e99-A89B-3F7291B0FE68}">
          <x14:dataField sourceField="1" uniqueName="[__Xl2].[Measures].[Count of Patient Admission Flag]"/>
        </ext>
      </extLst>
    </dataField>
    <dataField name="Count of Patient Admission Flag" fld="4" subtotal="count" showDataAs="percentOfTotal" baseField="0" baseItem="0" numFmtId="10">
      <extLst>
        <ext xmlns:x14="http://schemas.microsoft.com/office/spreadsheetml/2009/9/main" uri="{E15A36E0-9728-4e99-A89B-3F7291B0FE68}">
          <x14:dataField sourceField="1"/>
        </ext>
      </extLst>
    </dataField>
  </dataFields>
  <formats count="3">
    <format dxfId="5">
      <pivotArea outline="0" collapsedLevelsAreSubtotals="1" fieldPosition="0"/>
    </format>
    <format dxfId="4">
      <pivotArea collapsedLevelsAreSubtotals="1" fieldPosition="0">
        <references count="1">
          <reference field="2" count="0"/>
        </references>
      </pivotArea>
    </format>
    <format dxfId="3">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s>
  <pivotHierarchies count="35">
    <pivotHierarchy dragToData="1"/>
    <pivotHierarchy multipleItemSelectionAllowed="1" dragToData="1">
      <members count="1" level="1">
        <member name="[calendar table].[Date (Month)].&amp;[Feb]"/>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E0BF6F7-B2C2-47B3-9FC8-44B4BA32EC37}" name="PivotTable10" cacheId="9" applyNumberFormats="0" applyBorderFormats="0" applyFontFormats="0" applyPatternFormats="0" applyAlignmentFormats="0" applyWidthHeightFormats="1" dataCaption="Values" tag="5fffec27-c9cf-4570-b505-5aef854696eb" updatedVersion="8" minRefreshableVersion="3" subtotalHiddenItems="1" itemPrintTitles="1" createdVersion="5" indent="0" outline="1" outlineData="1" multipleFieldFilters="0" chartFormat="16">
  <location ref="B71:C74"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ain status" fld="2" subtotal="count" baseField="0" baseItem="0"/>
  </dataFields>
  <formats count="2">
    <format dxfId="7">
      <pivotArea outline="0" collapsedLevelsAreSubtotals="1" fieldPosition="0"/>
    </format>
    <format dxfId="6">
      <pivotArea collapsedLevelsAreSubtotals="1" fieldPosition="0">
        <references count="1">
          <reference field="1" count="0"/>
        </references>
      </pivotArea>
    </format>
  </formats>
  <chartFormats count="3">
    <chartFormat chart="12" format="4" series="1">
      <pivotArea type="data" outline="0" fieldPosition="0">
        <references count="1">
          <reference field="4294967294" count="1" selected="0">
            <x v="0"/>
          </reference>
        </references>
      </pivotArea>
    </chartFormat>
    <chartFormat chart="12" format="5">
      <pivotArea type="data" outline="0" fieldPosition="0">
        <references count="2">
          <reference field="4294967294" count="1" selected="0">
            <x v="0"/>
          </reference>
          <reference field="1" count="1" selected="0">
            <x v="0"/>
          </reference>
        </references>
      </pivotArea>
    </chartFormat>
    <chartFormat chart="12"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 table].[Date (Month)].&amp;[Feb]"/>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29029A9-4703-4F4F-AFD6-63E8C760F069}" name="PivotTable5" cacheId="4" applyNumberFormats="0" applyBorderFormats="0" applyFontFormats="0" applyPatternFormats="0" applyAlignmentFormats="0" applyWidthHeightFormats="1" dataCaption="Values" tag="dbc16317-9acf-4487-ad73-88858e6744c9" updatedVersion="8" minRefreshableVersion="3" subtotalHiddenItems="1" itemPrintTitles="1" createdVersion="5" indent="0" outline="1" outlineData="1" multipleFieldFilters="0" chartFormat="19">
  <location ref="N7:O37" firstHeaderRow="1" firstDataRow="1" firstDataCol="1"/>
  <pivotFields count="4">
    <pivotField axis="axisRow" allDrilled="1"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Average of Patient Waittime" fld="2" subtotal="average" baseField="0" baseItem="0"/>
  </dataFields>
  <formats count="2">
    <format dxfId="9">
      <pivotArea collapsedLevelsAreSubtotals="1" fieldPosition="0">
        <references count="1">
          <reference field="0" count="0"/>
        </references>
      </pivotArea>
    </format>
    <format dxfId="8">
      <pivotArea dataOnly="0" labelOnly="1" outline="0" axis="axisValues" fieldPosition="0"/>
    </format>
  </formats>
  <chartFormats count="2">
    <chartFormat chart="11"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 table].[Date (Month)].&amp;[Feb]"/>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64DAE23-EF4B-4226-A59B-B119344584CE}" name="PivotTable9" cacheId="8" applyNumberFormats="0" applyBorderFormats="0" applyFontFormats="0" applyPatternFormats="0" applyAlignmentFormats="0" applyWidthHeightFormats="1" dataCaption="Values" tag="5fffec27-c9cf-4570-b505-5aef854696eb" updatedVersion="8" minRefreshableVersion="3" subtotalHiddenItems="1" itemPrintTitles="1" createdVersion="5" indent="0" outline="1" outlineData="1" multipleFieldFilters="0" chartFormat="10">
  <location ref="G53:H62"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2">
    <format dxfId="11">
      <pivotArea outline="0" collapsedLevelsAreSubtotals="1" fieldPosition="0"/>
    </format>
    <format dxfId="10">
      <pivotArea collapsedLevelsAreSubtotals="1" fieldPosition="0">
        <references count="1">
          <reference field="1" count="0"/>
        </references>
      </pivotArea>
    </format>
  </formats>
  <chartFormats count="3">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 table].[Date (Month)].&amp;[Feb]"/>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C2A3783-CB05-45B9-B227-373A6B23E692}" name="PivotTable11" cacheId="10" applyNumberFormats="0" applyBorderFormats="0" applyFontFormats="0" applyPatternFormats="0" applyAlignmentFormats="0" applyWidthHeightFormats="1" dataCaption="Values" tag="5fffec27-c9cf-4570-b505-5aef854696eb" updatedVersion="8" minRefreshableVersion="3" subtotalHiddenItems="1" itemPrintTitles="1" createdVersion="5" indent="0" outline="1" outlineData="1" multipleFieldFilters="0" chartFormat="25">
  <location ref="B78:C81"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12">
      <pivotArea outline="0" collapsedLevelsAreSubtotals="1" fieldPosition="0"/>
    </format>
  </formats>
  <chartFormats count="3">
    <chartFormat chart="22" format="4" series="1">
      <pivotArea type="data" outline="0" fieldPosition="0">
        <references count="1">
          <reference field="4294967294" count="1" selected="0">
            <x v="0"/>
          </reference>
        </references>
      </pivotArea>
    </chartFormat>
    <chartFormat chart="22" format="5">
      <pivotArea type="data" outline="0" fieldPosition="0">
        <references count="2">
          <reference field="4294967294" count="1" selected="0">
            <x v="0"/>
          </reference>
          <reference field="1" count="1" selected="0">
            <x v="0"/>
          </reference>
        </references>
      </pivotArea>
    </chartFormat>
    <chartFormat chart="22"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 table].[Date (Month)].&amp;[Feb]"/>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FA1F9C9-2C4A-4234-A9B2-D07EF5C76D74}" name="PivotTable1" cacheId="1" applyNumberFormats="0" applyBorderFormats="0" applyFontFormats="0" applyPatternFormats="0" applyAlignmentFormats="0" applyWidthHeightFormats="1" dataCaption="Values" tag="f54ac168-b302-44a8-99e7-3bb0e776d65b" updatedVersion="8" minRefreshableVersion="3" subtotalHiddenItems="1" itemPrintTitles="1" createdVersion="5" indent="0" outline="1" outlineData="1" multipleFieldFilters="0">
  <location ref="B3:B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ar table].[Date (Month)].&amp;[Feb]"/>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476C27E-F92B-4C57-95F7-F1CA1CD9B16A}" name="PivotTable6" cacheId="5" applyNumberFormats="0" applyBorderFormats="0" applyFontFormats="0" applyPatternFormats="0" applyAlignmentFormats="0" applyWidthHeightFormats="1" dataCaption="Values" tag="c32fc510-613b-40d3-a74f-dc936f314a74" updatedVersion="8" minRefreshableVersion="3" subtotalHiddenItems="1" itemPrintTitles="1" createdVersion="5" indent="0" outline="1" outlineData="1" multipleFieldFilters="0" chartFormat="29">
  <location ref="S7:T36" firstHeaderRow="1" firstDataRow="1" firstDataCol="1"/>
  <pivotFields count="4">
    <pivotField axis="axisRow" allDrilled="1" subtotalTop="0" showAll="0" dataSourceSort="1" defaultSubtotal="0" defaultAttributeDrillState="1">
      <items count="28">
        <item x="0"/>
        <item x="1"/>
        <item x="2"/>
        <item x="3"/>
        <item x="4"/>
        <item x="5"/>
        <item x="6"/>
        <item x="7"/>
        <item x="8"/>
        <item x="9"/>
        <item x="10"/>
        <item x="11"/>
        <item x="12"/>
        <item x="13"/>
        <item x="14"/>
        <item x="15"/>
        <item x="16"/>
        <item x="17"/>
        <item x="18"/>
        <item x="19"/>
        <item x="20"/>
        <item x="21"/>
        <item x="22"/>
        <item x="23"/>
        <item x="24"/>
        <item x="25"/>
        <item x="26"/>
        <item x="27"/>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Items count="1">
    <i/>
  </colItems>
  <dataFields count="1">
    <dataField name="Average of Patient Satisfaction Score" fld="2" subtotal="average" baseField="0" baseItem="0"/>
  </dataFields>
  <formats count="2">
    <format dxfId="14">
      <pivotArea collapsedLevelsAreSubtotals="1" fieldPosition="0">
        <references count="1">
          <reference field="0" count="0"/>
        </references>
      </pivotArea>
    </format>
    <format dxfId="13">
      <pivotArea dataOnly="0" labelOnly="1" outline="0" axis="axisValues" fieldPosition="0"/>
    </format>
  </formats>
  <chartFormats count="3">
    <chartFormat chart="19" format="1"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 table].[Date (Month)].&amp;[Feb]"/>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75BD11B-A5F3-46E5-9787-AC164020A7BB}" name="PivotTable12" cacheId="11" applyNumberFormats="0" applyBorderFormats="0" applyFontFormats="0" applyPatternFormats="0" applyAlignmentFormats="0" applyWidthHeightFormats="1" dataCaption="Values" tag="5fffec27-c9cf-4570-b505-5aef854696eb" updatedVersion="8" minRefreshableVersion="3" subtotalHiddenItems="1" itemPrintTitles="1" createdVersion="5" indent="0" outline="1" outlineData="1" multipleFieldFilters="0" chartFormat="29">
  <location ref="B86:C95"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3"/>
    </i>
    <i>
      <x v="1"/>
    </i>
    <i>
      <x v="7"/>
    </i>
    <i>
      <x/>
    </i>
    <i>
      <x v="6"/>
    </i>
    <i>
      <x v="5"/>
    </i>
    <i>
      <x v="2"/>
    </i>
    <i>
      <x v="4"/>
    </i>
    <i t="grand">
      <x/>
    </i>
  </rowItems>
  <colItems count="1">
    <i/>
  </colItems>
  <dataFields count="1">
    <dataField name="Count of Department Referral" fld="2" subtotal="count" baseField="0" baseItem="0"/>
  </dataFields>
  <formats count="2">
    <format dxfId="16">
      <pivotArea outline="0" collapsedLevelsAreSubtotals="1" fieldPosition="0"/>
    </format>
    <format dxfId="15">
      <pivotArea collapsedLevelsAreSubtotals="1" fieldPosition="0">
        <references count="1">
          <reference field="1" count="0"/>
        </references>
      </pivotArea>
    </format>
  </formats>
  <chartFormats count="2">
    <chartFormat chart="25"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 table].[Date (Month)].&amp;[Feb]"/>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EB47D0D-3000-4A4D-A66E-B5A6798B451B}" name="PivotTable13" cacheId="12" applyNumberFormats="0" applyBorderFormats="0" applyFontFormats="0" applyPatternFormats="0" applyAlignmentFormats="0" applyWidthHeightFormats="1" dataCaption="Values" tag="5fffec27-c9cf-4570-b505-5aef854696eb" updatedVersion="8" minRefreshableVersion="3" subtotalHiddenItems="1" itemPrintTitles="1" createdVersion="5" indent="0" outline="1" outlineData="1" multipleFieldFilters="0" chartFormat="29">
  <location ref="B102:B104"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17">
      <pivotArea outline="0" collapsedLevelsAreSubtotals="1" fieldPosition="0"/>
    </format>
  </formats>
  <pivotHierarchies count="34">
    <pivotHierarchy dragToData="1"/>
    <pivotHierarchy multipleItemSelectionAllowed="1" dragToData="1">
      <members count="1" level="1">
        <member name="[calendar table].[Date (Month)].&amp;[Feb]"/>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2F2C28A-A447-462A-A72B-F78BF8D1C970}" name="PivotTable3" cacheId="3" applyNumberFormats="0" applyBorderFormats="0" applyFontFormats="0" applyPatternFormats="0" applyAlignmentFormats="0" applyWidthHeightFormats="1" dataCaption="Values" tag="752d0262-5b9c-44f5-bd4a-1395ff436dcc" updatedVersion="8" minRefreshableVersion="3" subtotalHiddenItems="1" itemPrintTitles="1" createdVersion="5" indent="0" outline="1" outlineData="1" multipleFieldFilters="0">
  <location ref="B13:B1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18">
      <pivotArea outline="0" collapsedLevelsAreSubtotals="1" fieldPosition="0"/>
    </format>
  </formats>
  <pivotHierarchies count="34">
    <pivotHierarchy dragToData="1"/>
    <pivotHierarchy multipleItemSelectionAllowed="1" dragToData="1">
      <members count="1" level="1">
        <member name="[calendar table].[Date (Month)].&amp;[Feb]"/>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A59E7E89-935E-4374-ABBE-2C93F1679CC0}" sourceName="[calendar table].[Date (Month)]">
  <pivotTables>
    <pivotTable tabId="2" name="PivotTable4"/>
    <pivotTable tabId="2" name="PivotTable1"/>
    <pivotTable tabId="2" name="PivotTable2"/>
    <pivotTable tabId="2" name="PivotTable3"/>
    <pivotTable tabId="2" name="PivotTable5"/>
    <pivotTable tabId="2" name="PivotTable6"/>
    <pivotTable tabId="2" name="PivotTable7"/>
    <pivotTable tabId="2" name="PivotTable8"/>
    <pivotTable tabId="2" name="PivotTable9"/>
    <pivotTable tabId="2" name="PivotTable10"/>
    <pivotTable tabId="2" name="PivotTable11"/>
    <pivotTable tabId="2" name="PivotTable12"/>
    <pivotTable tabId="2" name="PivotTable13"/>
  </pivotTables>
  <data>
    <olap pivotCacheId="684141083">
      <levels count="2">
        <level uniqueName="[calendar table].[Date (Month)].[(All)]" sourceCaption="(All)" count="0"/>
        <level uniqueName="[calendar table].[Date (Month)].[Date (Month)]" sourceCaption="Date (Month)" count="12">
          <ranges>
            <range startItem="0">
              <i n="[calendar table].[Date (Month)].&amp;[Jan]" c="Jan"/>
              <i n="[calendar table].[Date (Month)].&amp;[Feb]" c="Feb"/>
              <i n="[calendar table].[Date (Month)].&amp;[Mar]" c="Mar"/>
              <i n="[calendar table].[Date (Month)].&amp;[Apr]" c="Apr"/>
              <i n="[calendar table].[Date (Month)].&amp;[May]" c="May"/>
              <i n="[calendar table].[Date (Month)].&amp;[Jun]" c="Jun"/>
              <i n="[calendar table].[Date (Month)].&amp;[Jul]" c="Jul"/>
              <i n="[calendar table].[Date (Month)].&amp;[Aug]" c="Aug"/>
              <i n="[calendar table].[Date (Month)].&amp;[Sep]" c="Sep"/>
              <i n="[calendar table].[Date (Month)].&amp;[Oct]" c="Oct"/>
              <i n="[calendar table].[Date (Month)].&amp;[Nov]" c="Nov"/>
              <i n="[calendar table].[Date (Month)].&amp;[Dec]" c="Dec"/>
            </range>
          </ranges>
        </level>
      </levels>
      <selections count="1">
        <selection n="[calendar table].[Date (Month)].&amp;[Feb]"/>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7C510ABF-1873-41CF-AC56-F77B18346A23}" sourceName="[calendar table].[Date (Year)]">
  <pivotTables>
    <pivotTable tabId="2" name="PivotTable13"/>
    <pivotTable tabId="2" name="PivotTable1"/>
    <pivotTable tabId="2" name="PivotTable10"/>
    <pivotTable tabId="2" name="PivotTable11"/>
    <pivotTable tabId="2" name="PivotTable12"/>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olap pivotCacheId="684141083">
      <levels count="2">
        <level uniqueName="[calendar table].[Date (Year)].[(All)]" sourceCaption="(All)" count="0"/>
        <level uniqueName="[calendar table].[Date (Year)].[Date (Year)]" sourceCaption="Date (Year)" count="2">
          <ranges>
            <range startItem="0">
              <i n="[calendar table].[Date (Year)].&amp;[2023]" c="2023"/>
              <i n="[calendar table].[Date (Year)].&amp;[2024]" c="2024"/>
            </range>
          </ranges>
        </level>
      </levels>
      <selections count="1">
        <selection n="[calendar 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Year)" xr10:uid="{3950A37B-5452-4858-97AB-9A242406D70C}" cache="Slicer_Date__Year" caption="Date (Year)"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310BD71A-F45A-4B5B-9645-E944D0FA6CFC}" cache="Slicer_Date__Month" level="1" style="SlicerStyleDark2" rowHeight="182880"/>
  <slicer name="Date (Year) 1" xr10:uid="{AA339C9A-1DA2-4B1F-B9DC-854D6050BDFF}" cache="Slicer_Date__Year" caption="Date (Year)" columnCount="2" showCaption="0" level="1" style="SlicerStyleDark2" rowHeight="36576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1.vml"/><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CC1A7-5BA0-471E-AF28-2E9FB77B4C84}">
  <dimension ref="A2:T104"/>
  <sheetViews>
    <sheetView topLeftCell="B94" workbookViewId="0">
      <selection activeCell="B103" sqref="B103"/>
    </sheetView>
  </sheetViews>
  <sheetFormatPr defaultRowHeight="15" x14ac:dyDescent="0.25"/>
  <cols>
    <col min="1" max="1" width="16.28515625" bestFit="1" customWidth="1"/>
    <col min="2" max="2" width="19.42578125" customWidth="1"/>
    <col min="3" max="3" width="20.85546875" customWidth="1"/>
    <col min="4" max="4" width="29.85546875" bestFit="1" customWidth="1"/>
    <col min="7" max="8" width="25.140625" bestFit="1" customWidth="1"/>
    <col min="14" max="14" width="17" bestFit="1" customWidth="1"/>
    <col min="15" max="15" width="25.140625" bestFit="1" customWidth="1"/>
    <col min="19" max="20" width="26.85546875" bestFit="1" customWidth="1"/>
  </cols>
  <sheetData>
    <row r="2" spans="2:20" x14ac:dyDescent="0.25">
      <c r="B2" t="s">
        <v>1</v>
      </c>
    </row>
    <row r="3" spans="2:20" x14ac:dyDescent="0.25">
      <c r="B3" t="s">
        <v>0</v>
      </c>
    </row>
    <row r="4" spans="2:20" x14ac:dyDescent="0.25">
      <c r="B4">
        <v>431</v>
      </c>
    </row>
    <row r="6" spans="2:20" x14ac:dyDescent="0.25">
      <c r="G6" t="s">
        <v>6</v>
      </c>
      <c r="N6" t="s">
        <v>7</v>
      </c>
      <c r="S6" t="s">
        <v>8</v>
      </c>
    </row>
    <row r="7" spans="2:20" x14ac:dyDescent="0.25">
      <c r="G7" s="1" t="s">
        <v>5</v>
      </c>
      <c r="H7" t="s">
        <v>0</v>
      </c>
      <c r="N7" s="1" t="s">
        <v>5</v>
      </c>
      <c r="O7" s="2" t="s">
        <v>2</v>
      </c>
      <c r="S7" s="1" t="s">
        <v>5</v>
      </c>
      <c r="T7" s="2" t="s">
        <v>3</v>
      </c>
    </row>
    <row r="8" spans="2:20" x14ac:dyDescent="0.25">
      <c r="G8" s="4" t="s">
        <v>16</v>
      </c>
      <c r="H8">
        <v>13</v>
      </c>
      <c r="N8" s="4" t="s">
        <v>16</v>
      </c>
      <c r="O8" s="2">
        <v>35.692307692307693</v>
      </c>
      <c r="S8" s="4" t="s">
        <v>16</v>
      </c>
      <c r="T8" s="2">
        <v>4.166666666666667</v>
      </c>
    </row>
    <row r="9" spans="2:20" x14ac:dyDescent="0.25">
      <c r="B9" t="s">
        <v>2</v>
      </c>
      <c r="G9" s="4" t="s">
        <v>17</v>
      </c>
      <c r="H9">
        <v>10</v>
      </c>
      <c r="N9" s="4" t="s">
        <v>17</v>
      </c>
      <c r="O9" s="2">
        <v>45.4</v>
      </c>
      <c r="S9" s="4" t="s">
        <v>17</v>
      </c>
      <c r="T9" s="2">
        <v>5.75</v>
      </c>
    </row>
    <row r="10" spans="2:20" x14ac:dyDescent="0.25">
      <c r="B10" s="2">
        <v>36.670533642691417</v>
      </c>
      <c r="G10" s="4" t="s">
        <v>18</v>
      </c>
      <c r="H10">
        <v>8</v>
      </c>
      <c r="N10" s="4" t="s">
        <v>18</v>
      </c>
      <c r="O10" s="2">
        <v>29.375</v>
      </c>
      <c r="S10" s="4" t="s">
        <v>18</v>
      </c>
      <c r="T10" s="2">
        <v>4.75</v>
      </c>
    </row>
    <row r="11" spans="2:20" x14ac:dyDescent="0.25">
      <c r="G11" s="4" t="s">
        <v>19</v>
      </c>
      <c r="H11">
        <v>12</v>
      </c>
      <c r="N11" s="4" t="s">
        <v>19</v>
      </c>
      <c r="O11" s="2">
        <v>34.583333333333336</v>
      </c>
      <c r="S11" s="4" t="s">
        <v>19</v>
      </c>
      <c r="T11" s="2">
        <v>7</v>
      </c>
    </row>
    <row r="12" spans="2:20" x14ac:dyDescent="0.25">
      <c r="G12" s="4" t="s">
        <v>20</v>
      </c>
      <c r="H12">
        <v>19</v>
      </c>
      <c r="N12" s="4" t="s">
        <v>20</v>
      </c>
      <c r="O12" s="2">
        <v>38.684210526315788</v>
      </c>
      <c r="S12" s="4" t="s">
        <v>20</v>
      </c>
      <c r="T12" s="2">
        <v>3.1428571428571428</v>
      </c>
    </row>
    <row r="13" spans="2:20" x14ac:dyDescent="0.25">
      <c r="B13" t="s">
        <v>3</v>
      </c>
      <c r="G13" s="4" t="s">
        <v>21</v>
      </c>
      <c r="H13">
        <v>9</v>
      </c>
      <c r="N13" s="4" t="s">
        <v>21</v>
      </c>
      <c r="O13" s="2">
        <v>34.777777777777779</v>
      </c>
      <c r="S13" s="4" t="s">
        <v>21</v>
      </c>
      <c r="T13" s="2">
        <v>8</v>
      </c>
    </row>
    <row r="14" spans="2:20" x14ac:dyDescent="0.25">
      <c r="B14" s="2">
        <v>4.7154471544715451</v>
      </c>
      <c r="G14" s="4" t="s">
        <v>22</v>
      </c>
      <c r="H14">
        <v>13</v>
      </c>
      <c r="N14" s="4" t="s">
        <v>22</v>
      </c>
      <c r="O14" s="2">
        <v>37.307692307692307</v>
      </c>
      <c r="S14" s="4" t="s">
        <v>22</v>
      </c>
      <c r="T14" s="2">
        <v>5.25</v>
      </c>
    </row>
    <row r="15" spans="2:20" x14ac:dyDescent="0.25">
      <c r="G15" s="4" t="s">
        <v>23</v>
      </c>
      <c r="H15">
        <v>19</v>
      </c>
      <c r="N15" s="4" t="s">
        <v>23</v>
      </c>
      <c r="O15" s="2">
        <v>35.631578947368418</v>
      </c>
      <c r="S15" s="4" t="s">
        <v>23</v>
      </c>
      <c r="T15" s="2">
        <v>4.5714285714285712</v>
      </c>
    </row>
    <row r="16" spans="2:20" x14ac:dyDescent="0.25">
      <c r="G16" s="4" t="s">
        <v>24</v>
      </c>
      <c r="H16">
        <v>10</v>
      </c>
      <c r="N16" s="4" t="s">
        <v>24</v>
      </c>
      <c r="O16" s="2">
        <v>36.6</v>
      </c>
      <c r="S16" s="4" t="s">
        <v>24</v>
      </c>
      <c r="T16" s="2">
        <v>2.75</v>
      </c>
    </row>
    <row r="17" spans="7:20" x14ac:dyDescent="0.25">
      <c r="G17" s="4" t="s">
        <v>25</v>
      </c>
      <c r="H17">
        <v>20</v>
      </c>
      <c r="N17" s="4" t="s">
        <v>25</v>
      </c>
      <c r="O17" s="2">
        <v>39.700000000000003</v>
      </c>
      <c r="S17" s="4" t="s">
        <v>25</v>
      </c>
      <c r="T17" s="2">
        <v>4.5</v>
      </c>
    </row>
    <row r="18" spans="7:20" x14ac:dyDescent="0.25">
      <c r="G18" s="4" t="s">
        <v>26</v>
      </c>
      <c r="H18">
        <v>15</v>
      </c>
      <c r="N18" s="4" t="s">
        <v>26</v>
      </c>
      <c r="O18" s="2">
        <v>37.4</v>
      </c>
      <c r="S18" s="4" t="s">
        <v>26</v>
      </c>
      <c r="T18" s="2">
        <v>5.5</v>
      </c>
    </row>
    <row r="19" spans="7:20" x14ac:dyDescent="0.25">
      <c r="G19" s="4" t="s">
        <v>27</v>
      </c>
      <c r="H19">
        <v>13</v>
      </c>
      <c r="N19" s="4" t="s">
        <v>27</v>
      </c>
      <c r="O19" s="2">
        <v>27.76923076923077</v>
      </c>
      <c r="S19" s="4" t="s">
        <v>27</v>
      </c>
      <c r="T19" s="2">
        <v>5.6</v>
      </c>
    </row>
    <row r="20" spans="7:20" x14ac:dyDescent="0.25">
      <c r="G20" s="4" t="s">
        <v>28</v>
      </c>
      <c r="H20">
        <v>9</v>
      </c>
      <c r="N20" s="4" t="s">
        <v>28</v>
      </c>
      <c r="O20" s="2">
        <v>38.777777777777779</v>
      </c>
      <c r="S20" s="4" t="s">
        <v>28</v>
      </c>
      <c r="T20" s="2">
        <v>5.75</v>
      </c>
    </row>
    <row r="21" spans="7:20" x14ac:dyDescent="0.25">
      <c r="G21" s="4" t="s">
        <v>29</v>
      </c>
      <c r="H21">
        <v>19</v>
      </c>
      <c r="N21" s="4" t="s">
        <v>29</v>
      </c>
      <c r="O21" s="2">
        <v>31</v>
      </c>
      <c r="S21" s="4" t="s">
        <v>29</v>
      </c>
      <c r="T21" s="2">
        <v>3.4444444444444446</v>
      </c>
    </row>
    <row r="22" spans="7:20" x14ac:dyDescent="0.25">
      <c r="G22" s="4" t="s">
        <v>30</v>
      </c>
      <c r="H22">
        <v>14</v>
      </c>
      <c r="N22" s="4" t="s">
        <v>30</v>
      </c>
      <c r="O22" s="2">
        <v>35.928571428571431</v>
      </c>
      <c r="S22" s="4" t="s">
        <v>30</v>
      </c>
      <c r="T22" s="2">
        <v>1.5</v>
      </c>
    </row>
    <row r="23" spans="7:20" x14ac:dyDescent="0.25">
      <c r="G23" s="4" t="s">
        <v>31</v>
      </c>
      <c r="H23">
        <v>17</v>
      </c>
      <c r="N23" s="4" t="s">
        <v>31</v>
      </c>
      <c r="O23" s="2">
        <v>37.882352941176471</v>
      </c>
      <c r="S23" s="4" t="s">
        <v>31</v>
      </c>
      <c r="T23" s="2">
        <v>3.6666666666666665</v>
      </c>
    </row>
    <row r="24" spans="7:20" x14ac:dyDescent="0.25">
      <c r="G24" s="4" t="s">
        <v>32</v>
      </c>
      <c r="H24">
        <v>17</v>
      </c>
      <c r="N24" s="4" t="s">
        <v>32</v>
      </c>
      <c r="O24" s="2">
        <v>40.588235294117645</v>
      </c>
      <c r="S24" s="4" t="s">
        <v>32</v>
      </c>
      <c r="T24" s="2">
        <v>4.4285714285714288</v>
      </c>
    </row>
    <row r="25" spans="7:20" x14ac:dyDescent="0.25">
      <c r="G25" s="4" t="s">
        <v>33</v>
      </c>
      <c r="H25">
        <v>15</v>
      </c>
      <c r="N25" s="4" t="s">
        <v>33</v>
      </c>
      <c r="O25" s="2">
        <v>34.533333333333331</v>
      </c>
      <c r="S25" s="4" t="s">
        <v>33</v>
      </c>
      <c r="T25" s="2">
        <v>6</v>
      </c>
    </row>
    <row r="26" spans="7:20" x14ac:dyDescent="0.25">
      <c r="G26" s="4" t="s">
        <v>34</v>
      </c>
      <c r="H26">
        <v>9</v>
      </c>
      <c r="N26" s="4" t="s">
        <v>34</v>
      </c>
      <c r="O26" s="2">
        <v>40.333333333333336</v>
      </c>
      <c r="S26" s="4" t="s">
        <v>34</v>
      </c>
      <c r="T26" s="2">
        <v>2.6666666666666665</v>
      </c>
    </row>
    <row r="27" spans="7:20" x14ac:dyDescent="0.25">
      <c r="G27" s="4" t="s">
        <v>35</v>
      </c>
      <c r="H27">
        <v>14</v>
      </c>
      <c r="N27" s="4" t="s">
        <v>35</v>
      </c>
      <c r="O27" s="2">
        <v>35.285714285714285</v>
      </c>
      <c r="S27" s="4" t="s">
        <v>35</v>
      </c>
      <c r="T27" s="2">
        <v>7.5</v>
      </c>
    </row>
    <row r="28" spans="7:20" x14ac:dyDescent="0.25">
      <c r="G28" s="4" t="s">
        <v>36</v>
      </c>
      <c r="H28">
        <v>22</v>
      </c>
      <c r="N28" s="4" t="s">
        <v>36</v>
      </c>
      <c r="O28" s="2">
        <v>35.5</v>
      </c>
      <c r="S28" s="4" t="s">
        <v>36</v>
      </c>
      <c r="T28" s="2">
        <v>4.5</v>
      </c>
    </row>
    <row r="29" spans="7:20" x14ac:dyDescent="0.25">
      <c r="G29" s="4" t="s">
        <v>37</v>
      </c>
      <c r="H29">
        <v>16</v>
      </c>
      <c r="N29" s="4" t="s">
        <v>37</v>
      </c>
      <c r="O29" s="2">
        <v>38.5625</v>
      </c>
      <c r="S29" s="4" t="s">
        <v>37</v>
      </c>
      <c r="T29" s="2">
        <v>8</v>
      </c>
    </row>
    <row r="30" spans="7:20" x14ac:dyDescent="0.25">
      <c r="G30" s="4" t="s">
        <v>38</v>
      </c>
      <c r="H30">
        <v>22</v>
      </c>
      <c r="N30" s="4" t="s">
        <v>38</v>
      </c>
      <c r="O30" s="2">
        <v>42.727272727272727</v>
      </c>
      <c r="S30" s="4" t="s">
        <v>38</v>
      </c>
      <c r="T30" s="2">
        <v>4.3636363636363633</v>
      </c>
    </row>
    <row r="31" spans="7:20" x14ac:dyDescent="0.25">
      <c r="G31" s="4" t="s">
        <v>39</v>
      </c>
      <c r="H31">
        <v>12</v>
      </c>
      <c r="N31" s="4" t="s">
        <v>39</v>
      </c>
      <c r="O31" s="2">
        <v>37.416666666666664</v>
      </c>
      <c r="S31" s="4" t="s">
        <v>39</v>
      </c>
      <c r="T31" s="2">
        <v>0</v>
      </c>
    </row>
    <row r="32" spans="7:20" x14ac:dyDescent="0.25">
      <c r="G32" s="4" t="s">
        <v>40</v>
      </c>
      <c r="H32">
        <v>20</v>
      </c>
      <c r="N32" s="4" t="s">
        <v>40</v>
      </c>
      <c r="O32" s="2">
        <v>32.450000000000003</v>
      </c>
      <c r="S32" s="4" t="s">
        <v>40</v>
      </c>
      <c r="T32" s="2">
        <v>10</v>
      </c>
    </row>
    <row r="33" spans="1:20" x14ac:dyDescent="0.25">
      <c r="G33" s="4" t="s">
        <v>41</v>
      </c>
      <c r="H33">
        <v>18</v>
      </c>
      <c r="N33" s="4" t="s">
        <v>41</v>
      </c>
      <c r="O33" s="2">
        <v>40.055555555555557</v>
      </c>
      <c r="S33" s="4" t="s">
        <v>42</v>
      </c>
      <c r="T33" s="2">
        <v>6.75</v>
      </c>
    </row>
    <row r="34" spans="1:20" x14ac:dyDescent="0.25">
      <c r="G34" s="4" t="s">
        <v>42</v>
      </c>
      <c r="H34">
        <v>18</v>
      </c>
      <c r="N34" s="4" t="s">
        <v>42</v>
      </c>
      <c r="O34" s="2">
        <v>31.666666666666668</v>
      </c>
      <c r="S34" s="4" t="s">
        <v>43</v>
      </c>
      <c r="T34" s="2">
        <v>7</v>
      </c>
    </row>
    <row r="35" spans="1:20" x14ac:dyDescent="0.25">
      <c r="G35" s="4" t="s">
        <v>43</v>
      </c>
      <c r="H35">
        <v>13</v>
      </c>
      <c r="N35" s="4" t="s">
        <v>43</v>
      </c>
      <c r="O35" s="2">
        <v>39.769230769230766</v>
      </c>
      <c r="S35" s="4" t="s">
        <v>44</v>
      </c>
      <c r="T35" s="2">
        <v>3.3333333333333335</v>
      </c>
    </row>
    <row r="36" spans="1:20" x14ac:dyDescent="0.25">
      <c r="G36" s="4" t="s">
        <v>44</v>
      </c>
      <c r="H36">
        <v>15</v>
      </c>
      <c r="N36" s="4" t="s">
        <v>44</v>
      </c>
      <c r="O36" s="2">
        <v>36.733333333333334</v>
      </c>
      <c r="S36" s="4" t="s">
        <v>4</v>
      </c>
      <c r="T36">
        <v>4.7154471544715451</v>
      </c>
    </row>
    <row r="37" spans="1:20" x14ac:dyDescent="0.25">
      <c r="G37" s="4" t="s">
        <v>4</v>
      </c>
      <c r="H37">
        <v>431</v>
      </c>
      <c r="N37" s="4" t="s">
        <v>4</v>
      </c>
      <c r="O37">
        <v>36.670533642691417</v>
      </c>
    </row>
    <row r="41" spans="1:20" x14ac:dyDescent="0.25">
      <c r="B41" s="1" t="s">
        <v>5</v>
      </c>
      <c r="C41" t="s">
        <v>12</v>
      </c>
      <c r="D41" t="s">
        <v>11</v>
      </c>
    </row>
    <row r="42" spans="1:20" x14ac:dyDescent="0.25">
      <c r="B42" s="4" t="s">
        <v>9</v>
      </c>
      <c r="C42" s="5">
        <v>224</v>
      </c>
      <c r="D42" s="6">
        <v>0.51972157772621808</v>
      </c>
    </row>
    <row r="43" spans="1:20" x14ac:dyDescent="0.25">
      <c r="B43" s="4" t="s">
        <v>10</v>
      </c>
      <c r="C43" s="5">
        <v>207</v>
      </c>
      <c r="D43" s="6">
        <v>0.48027842227378192</v>
      </c>
    </row>
    <row r="44" spans="1:20" x14ac:dyDescent="0.25">
      <c r="B44" s="4" t="s">
        <v>4</v>
      </c>
      <c r="C44" s="2">
        <v>431</v>
      </c>
      <c r="D44" s="6">
        <v>1</v>
      </c>
    </row>
    <row r="47" spans="1:20" x14ac:dyDescent="0.25">
      <c r="A47" s="8" t="s">
        <v>13</v>
      </c>
      <c r="B47" s="9" t="s">
        <v>15</v>
      </c>
      <c r="C47" s="8" t="s">
        <v>14</v>
      </c>
      <c r="D47" s="8"/>
    </row>
    <row r="48" spans="1:20" x14ac:dyDescent="0.25">
      <c r="A48" t="str">
        <f>B43</f>
        <v>Not Admitted</v>
      </c>
      <c r="B48">
        <f>C43</f>
        <v>207</v>
      </c>
      <c r="C48" s="7">
        <f>D43</f>
        <v>0.48027842227378192</v>
      </c>
    </row>
    <row r="49" spans="1:8" x14ac:dyDescent="0.25">
      <c r="A49" t="str">
        <f>B42</f>
        <v>Admitted</v>
      </c>
      <c r="B49">
        <f>C42</f>
        <v>224</v>
      </c>
      <c r="C49" s="7">
        <f>D42</f>
        <v>0.51972157772621808</v>
      </c>
    </row>
    <row r="53" spans="1:8" x14ac:dyDescent="0.25">
      <c r="G53" s="1" t="s">
        <v>5</v>
      </c>
      <c r="H53" t="s">
        <v>53</v>
      </c>
    </row>
    <row r="54" spans="1:8" x14ac:dyDescent="0.25">
      <c r="B54" t="s">
        <v>54</v>
      </c>
      <c r="G54" s="4" t="s">
        <v>45</v>
      </c>
      <c r="H54" s="5">
        <v>42</v>
      </c>
    </row>
    <row r="55" spans="1:8" x14ac:dyDescent="0.25">
      <c r="B55" s="1" t="s">
        <v>5</v>
      </c>
      <c r="C55" t="s">
        <v>53</v>
      </c>
      <c r="G55" s="4" t="s">
        <v>46</v>
      </c>
      <c r="H55" s="5">
        <v>46</v>
      </c>
    </row>
    <row r="56" spans="1:8" x14ac:dyDescent="0.25">
      <c r="B56" s="4" t="s">
        <v>45</v>
      </c>
      <c r="C56" s="5">
        <v>42</v>
      </c>
      <c r="G56" s="4" t="s">
        <v>47</v>
      </c>
      <c r="H56" s="5">
        <v>54</v>
      </c>
    </row>
    <row r="57" spans="1:8" x14ac:dyDescent="0.25">
      <c r="B57" s="4" t="s">
        <v>46</v>
      </c>
      <c r="C57" s="5">
        <v>46</v>
      </c>
      <c r="G57" s="4" t="s">
        <v>48</v>
      </c>
      <c r="H57" s="5">
        <v>68</v>
      </c>
    </row>
    <row r="58" spans="1:8" x14ac:dyDescent="0.25">
      <c r="B58" s="4" t="s">
        <v>47</v>
      </c>
      <c r="C58" s="5">
        <v>54</v>
      </c>
      <c r="G58" s="4" t="s">
        <v>49</v>
      </c>
      <c r="H58" s="5">
        <v>62</v>
      </c>
    </row>
    <row r="59" spans="1:8" x14ac:dyDescent="0.25">
      <c r="B59" s="4" t="s">
        <v>48</v>
      </c>
      <c r="C59" s="5">
        <v>68</v>
      </c>
      <c r="G59" s="4" t="s">
        <v>50</v>
      </c>
      <c r="H59" s="5">
        <v>52</v>
      </c>
    </row>
    <row r="60" spans="1:8" x14ac:dyDescent="0.25">
      <c r="B60" s="4" t="s">
        <v>49</v>
      </c>
      <c r="C60" s="5">
        <v>62</v>
      </c>
      <c r="G60" s="4" t="s">
        <v>51</v>
      </c>
      <c r="H60" s="5">
        <v>54</v>
      </c>
    </row>
    <row r="61" spans="1:8" x14ac:dyDescent="0.25">
      <c r="B61" s="4" t="s">
        <v>50</v>
      </c>
      <c r="C61" s="5">
        <v>52</v>
      </c>
      <c r="G61" s="4" t="s">
        <v>52</v>
      </c>
      <c r="H61" s="5">
        <v>53</v>
      </c>
    </row>
    <row r="62" spans="1:8" x14ac:dyDescent="0.25">
      <c r="B62" s="4" t="s">
        <v>51</v>
      </c>
      <c r="C62" s="5">
        <v>54</v>
      </c>
      <c r="G62" s="4" t="s">
        <v>4</v>
      </c>
      <c r="H62" s="2">
        <v>431</v>
      </c>
    </row>
    <row r="63" spans="1:8" x14ac:dyDescent="0.25">
      <c r="B63" s="4" t="s">
        <v>52</v>
      </c>
      <c r="C63" s="5">
        <v>53</v>
      </c>
    </row>
    <row r="64" spans="1:8" x14ac:dyDescent="0.25">
      <c r="B64" s="4" t="s">
        <v>4</v>
      </c>
      <c r="C64" s="2">
        <v>431</v>
      </c>
    </row>
    <row r="70" spans="2:3" x14ac:dyDescent="0.25">
      <c r="B70" t="s">
        <v>58</v>
      </c>
    </row>
    <row r="71" spans="2:3" x14ac:dyDescent="0.25">
      <c r="B71" s="1" t="s">
        <v>5</v>
      </c>
      <c r="C71" t="s">
        <v>57</v>
      </c>
    </row>
    <row r="72" spans="2:3" x14ac:dyDescent="0.25">
      <c r="B72" s="4" t="s">
        <v>56</v>
      </c>
      <c r="C72" s="5">
        <v>283</v>
      </c>
    </row>
    <row r="73" spans="2:3" x14ac:dyDescent="0.25">
      <c r="B73" s="4" t="s">
        <v>55</v>
      </c>
      <c r="C73" s="5">
        <v>148</v>
      </c>
    </row>
    <row r="74" spans="2:3" x14ac:dyDescent="0.25">
      <c r="B74" s="4" t="s">
        <v>4</v>
      </c>
      <c r="C74" s="2">
        <v>431</v>
      </c>
    </row>
    <row r="78" spans="2:3" x14ac:dyDescent="0.25">
      <c r="B78" s="1" t="s">
        <v>5</v>
      </c>
      <c r="C78" t="s">
        <v>61</v>
      </c>
    </row>
    <row r="79" spans="2:3" x14ac:dyDescent="0.25">
      <c r="B79" s="4" t="s">
        <v>59</v>
      </c>
      <c r="C79" s="2">
        <v>194</v>
      </c>
    </row>
    <row r="80" spans="2:3" x14ac:dyDescent="0.25">
      <c r="B80" s="4" t="s">
        <v>60</v>
      </c>
      <c r="C80" s="2">
        <v>237</v>
      </c>
    </row>
    <row r="81" spans="2:3" x14ac:dyDescent="0.25">
      <c r="B81" s="4" t="s">
        <v>4</v>
      </c>
      <c r="C81" s="2">
        <v>431</v>
      </c>
    </row>
    <row r="86" spans="2:3" x14ac:dyDescent="0.25">
      <c r="B86" s="1" t="s">
        <v>5</v>
      </c>
      <c r="C86" t="s">
        <v>70</v>
      </c>
    </row>
    <row r="87" spans="2:3" x14ac:dyDescent="0.25">
      <c r="B87" s="4" t="s">
        <v>65</v>
      </c>
      <c r="C87" s="5">
        <v>6</v>
      </c>
    </row>
    <row r="88" spans="2:3" x14ac:dyDescent="0.25">
      <c r="B88" s="4" t="s">
        <v>63</v>
      </c>
      <c r="C88" s="5">
        <v>6</v>
      </c>
    </row>
    <row r="89" spans="2:3" x14ac:dyDescent="0.25">
      <c r="B89" s="4" t="s">
        <v>69</v>
      </c>
      <c r="C89" s="5">
        <v>6</v>
      </c>
    </row>
    <row r="90" spans="2:3" x14ac:dyDescent="0.25">
      <c r="B90" s="4" t="s">
        <v>62</v>
      </c>
      <c r="C90" s="5">
        <v>12</v>
      </c>
    </row>
    <row r="91" spans="2:3" x14ac:dyDescent="0.25">
      <c r="B91" s="4" t="s">
        <v>68</v>
      </c>
      <c r="C91" s="5">
        <v>14</v>
      </c>
    </row>
    <row r="92" spans="2:3" x14ac:dyDescent="0.25">
      <c r="B92" s="4" t="s">
        <v>67</v>
      </c>
      <c r="C92" s="5">
        <v>46</v>
      </c>
    </row>
    <row r="93" spans="2:3" x14ac:dyDescent="0.25">
      <c r="B93" s="4" t="s">
        <v>64</v>
      </c>
      <c r="C93" s="5">
        <v>89</v>
      </c>
    </row>
    <row r="94" spans="2:3" x14ac:dyDescent="0.25">
      <c r="B94" s="4" t="s">
        <v>66</v>
      </c>
      <c r="C94" s="5">
        <v>252</v>
      </c>
    </row>
    <row r="95" spans="2:3" x14ac:dyDescent="0.25">
      <c r="B95" s="4" t="s">
        <v>4</v>
      </c>
      <c r="C95" s="2">
        <v>431</v>
      </c>
    </row>
    <row r="102" spans="2:2" x14ac:dyDescent="0.25">
      <c r="B102" s="1" t="s">
        <v>5</v>
      </c>
    </row>
    <row r="103" spans="2:2" x14ac:dyDescent="0.25">
      <c r="B103" s="4" t="s">
        <v>71</v>
      </c>
    </row>
    <row r="104" spans="2:2" x14ac:dyDescent="0.25">
      <c r="B104" s="4" t="s">
        <v>4</v>
      </c>
    </row>
  </sheetData>
  <pageMargins left="0.7" right="0.7" top="0.75" bottom="0.75" header="0.3" footer="0.3"/>
  <drawing r:id="rId14"/>
  <extLst>
    <ext xmlns:x14="http://schemas.microsoft.com/office/spreadsheetml/2009/9/main" uri="{A8765BA9-456A-4dab-B4F3-ACF838C121DE}">
      <x14:slicerList>
        <x14:slicer r:id="rId1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A4247-C2A2-4205-B813-931FA9659E2B}">
  <dimension ref="A1"/>
  <sheetViews>
    <sheetView workbookViewId="0"/>
  </sheetViews>
  <sheetFormatPr defaultRowHeight="15"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FB877-D2A7-466C-ADC2-458A4D70ADAB}">
  <dimension ref="A1"/>
  <sheetViews>
    <sheetView workbookViewId="0">
      <selection activeCell="J20" sqref="J20"/>
    </sheetView>
  </sheetViews>
  <sheetFormatPr defaultRowHeight="15"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918A6-E364-47A7-8799-F2DE1936088A}">
  <dimension ref="A1:U28"/>
  <sheetViews>
    <sheetView tabSelected="1" zoomScale="81" zoomScaleNormal="175" workbookViewId="0">
      <selection activeCell="X2" sqref="X2"/>
    </sheetView>
  </sheetViews>
  <sheetFormatPr defaultRowHeight="15" x14ac:dyDescent="0.25"/>
  <sheetData>
    <row r="1" spans="1:21" x14ac:dyDescent="0.25">
      <c r="A1" s="3"/>
      <c r="B1" s="3"/>
      <c r="C1" s="3"/>
      <c r="D1" s="3"/>
      <c r="E1" s="3"/>
      <c r="F1" s="3"/>
      <c r="G1" s="3"/>
      <c r="H1" s="3"/>
      <c r="I1" s="3"/>
      <c r="J1" s="3"/>
      <c r="K1" s="3"/>
      <c r="L1" s="3"/>
      <c r="M1" s="3"/>
      <c r="N1" s="3"/>
      <c r="O1" s="3"/>
      <c r="P1" s="3"/>
      <c r="Q1" s="3"/>
      <c r="R1" s="3"/>
      <c r="S1" s="3"/>
      <c r="T1" s="3"/>
      <c r="U1" s="3"/>
    </row>
    <row r="2" spans="1:21" x14ac:dyDescent="0.25">
      <c r="A2" s="3"/>
      <c r="B2" s="3"/>
      <c r="C2" s="3"/>
      <c r="D2" s="3"/>
      <c r="E2" s="3"/>
      <c r="F2" s="3"/>
      <c r="G2" s="3"/>
      <c r="H2" s="3"/>
      <c r="I2" s="3"/>
      <c r="J2" s="3"/>
      <c r="K2" s="3"/>
      <c r="L2" s="3"/>
      <c r="M2" s="3"/>
      <c r="N2" s="3"/>
      <c r="O2" s="3"/>
      <c r="P2" s="3"/>
      <c r="Q2" s="3"/>
      <c r="R2" s="3"/>
      <c r="S2" s="3"/>
      <c r="T2" s="3"/>
      <c r="U2" s="3"/>
    </row>
    <row r="3" spans="1:21" x14ac:dyDescent="0.25">
      <c r="A3" s="3"/>
      <c r="B3" s="3"/>
      <c r="C3" s="3"/>
      <c r="D3" s="3"/>
      <c r="E3" s="3"/>
      <c r="F3" s="3"/>
      <c r="G3" s="3"/>
      <c r="H3" s="3"/>
      <c r="I3" s="3"/>
      <c r="J3" s="3"/>
      <c r="K3" s="3"/>
      <c r="L3" s="3"/>
      <c r="M3" s="3"/>
      <c r="N3" s="3"/>
      <c r="O3" s="3"/>
      <c r="P3" s="3"/>
      <c r="Q3" s="3"/>
      <c r="R3" s="3"/>
      <c r="S3" s="3"/>
      <c r="T3" s="3"/>
      <c r="U3" s="3"/>
    </row>
    <row r="4" spans="1:21" x14ac:dyDescent="0.25">
      <c r="A4" s="3"/>
      <c r="B4" s="3"/>
      <c r="C4" s="3"/>
      <c r="D4" s="3"/>
      <c r="E4" s="3"/>
      <c r="F4" s="3"/>
      <c r="G4" s="3"/>
      <c r="H4" s="3"/>
      <c r="I4" s="3"/>
      <c r="J4" s="3"/>
      <c r="K4" s="3"/>
      <c r="L4" s="3"/>
      <c r="M4" s="3"/>
      <c r="N4" s="3"/>
      <c r="O4" s="3"/>
      <c r="P4" s="3"/>
      <c r="Q4" s="3"/>
      <c r="R4" s="3"/>
      <c r="S4" s="3"/>
      <c r="T4" s="3"/>
      <c r="U4" s="3"/>
    </row>
    <row r="5" spans="1:21" x14ac:dyDescent="0.25">
      <c r="A5" s="3"/>
      <c r="B5" s="3"/>
      <c r="C5" s="3"/>
      <c r="D5" s="3"/>
      <c r="E5" s="3"/>
      <c r="F5" s="3"/>
      <c r="G5" s="3"/>
      <c r="H5" s="3"/>
      <c r="I5" s="3"/>
      <c r="J5" s="3"/>
      <c r="K5" s="3"/>
      <c r="L5" s="3"/>
      <c r="M5" s="3"/>
      <c r="N5" s="3"/>
      <c r="O5" s="3"/>
      <c r="P5" s="3"/>
      <c r="Q5" s="3"/>
      <c r="R5" s="3"/>
      <c r="S5" s="3"/>
      <c r="T5" s="3"/>
      <c r="U5" s="3"/>
    </row>
    <row r="6" spans="1:21" x14ac:dyDescent="0.25">
      <c r="A6" s="3"/>
      <c r="B6" s="3"/>
      <c r="C6" s="3"/>
      <c r="D6" s="3"/>
      <c r="E6" s="3"/>
      <c r="F6" s="3"/>
      <c r="G6" s="3"/>
      <c r="H6" s="3"/>
      <c r="I6" s="3"/>
      <c r="J6" s="3"/>
      <c r="K6" s="3"/>
      <c r="L6" s="3"/>
      <c r="M6" s="3"/>
      <c r="N6" s="3"/>
      <c r="O6" s="3"/>
      <c r="P6" s="3"/>
      <c r="Q6" s="3"/>
      <c r="R6" s="3"/>
      <c r="S6" s="3"/>
      <c r="T6" s="3"/>
      <c r="U6" s="3"/>
    </row>
    <row r="7" spans="1:21" x14ac:dyDescent="0.25">
      <c r="A7" s="3"/>
      <c r="B7" s="3"/>
      <c r="C7" s="3"/>
      <c r="D7" s="3"/>
      <c r="E7" s="3"/>
      <c r="F7" s="3"/>
      <c r="G7" s="3"/>
      <c r="H7" s="3"/>
      <c r="I7" s="3"/>
      <c r="J7" s="3"/>
      <c r="K7" s="3"/>
      <c r="L7" s="3"/>
      <c r="M7" s="3"/>
      <c r="N7" s="3"/>
      <c r="O7" s="3"/>
      <c r="P7" s="3"/>
      <c r="Q7" s="3"/>
      <c r="R7" s="3"/>
      <c r="S7" s="3"/>
      <c r="T7" s="3"/>
      <c r="U7" s="3"/>
    </row>
    <row r="8" spans="1:21" x14ac:dyDescent="0.25">
      <c r="A8" s="3"/>
      <c r="B8" s="3"/>
      <c r="C8" s="3"/>
      <c r="D8" s="3"/>
      <c r="E8" s="3"/>
      <c r="F8" s="3"/>
      <c r="G8" s="3"/>
      <c r="H8" s="3"/>
      <c r="I8" s="3"/>
      <c r="J8" s="3"/>
      <c r="K8" s="3"/>
      <c r="L8" s="3"/>
      <c r="M8" s="3"/>
      <c r="N8" s="3"/>
      <c r="O8" s="3"/>
      <c r="P8" s="3"/>
      <c r="Q8" s="3"/>
      <c r="R8" s="3"/>
      <c r="S8" s="3"/>
      <c r="T8" s="3"/>
      <c r="U8" s="3"/>
    </row>
    <row r="9" spans="1:21" x14ac:dyDescent="0.25">
      <c r="A9" s="3"/>
      <c r="B9" s="3"/>
      <c r="C9" s="3"/>
      <c r="D9" s="3"/>
      <c r="E9" s="3"/>
      <c r="F9" s="3"/>
      <c r="G9" s="3"/>
      <c r="H9" s="3"/>
      <c r="I9" s="3"/>
      <c r="J9" s="3"/>
      <c r="K9" s="3"/>
      <c r="L9" s="3"/>
      <c r="M9" s="3"/>
      <c r="N9" s="3"/>
      <c r="O9" s="3"/>
      <c r="P9" s="3"/>
      <c r="Q9" s="3"/>
      <c r="R9" s="3" t="s">
        <v>72</v>
      </c>
      <c r="S9" s="3"/>
      <c r="T9" s="3"/>
      <c r="U9" s="3"/>
    </row>
    <row r="10" spans="1:21" x14ac:dyDescent="0.25">
      <c r="A10" s="3"/>
      <c r="B10" s="3"/>
      <c r="C10" s="3"/>
      <c r="D10" s="3"/>
      <c r="E10" s="3"/>
      <c r="F10" s="3"/>
      <c r="G10" s="3"/>
      <c r="H10" s="3"/>
      <c r="I10" s="3"/>
      <c r="J10" s="3"/>
      <c r="K10" s="3"/>
      <c r="L10" s="3"/>
      <c r="M10" s="3"/>
      <c r="N10" s="3"/>
      <c r="O10" s="3"/>
      <c r="P10" s="3"/>
      <c r="Q10" s="3"/>
      <c r="R10" s="3"/>
      <c r="S10" s="3"/>
      <c r="T10" s="3"/>
      <c r="U10" s="3"/>
    </row>
    <row r="11" spans="1:21" x14ac:dyDescent="0.25">
      <c r="A11" s="3"/>
      <c r="B11" s="3"/>
      <c r="C11" s="3"/>
      <c r="D11" s="3"/>
      <c r="E11" s="3"/>
      <c r="F11" s="3"/>
      <c r="G11" s="3"/>
      <c r="H11" s="3"/>
      <c r="I11" s="3"/>
      <c r="J11" s="3"/>
      <c r="K11" s="3"/>
      <c r="L11" s="3"/>
      <c r="M11" s="3"/>
      <c r="N11" s="3"/>
      <c r="O11" s="3"/>
      <c r="P11" s="3"/>
      <c r="Q11" s="3"/>
      <c r="R11" s="3"/>
      <c r="S11" s="3"/>
      <c r="T11" s="3"/>
      <c r="U11" s="3"/>
    </row>
    <row r="12" spans="1:21" x14ac:dyDescent="0.25">
      <c r="A12" s="3"/>
      <c r="B12" s="3"/>
      <c r="C12" s="3"/>
      <c r="D12" s="3"/>
      <c r="E12" s="3"/>
      <c r="F12" s="3"/>
      <c r="G12" s="3"/>
      <c r="H12" s="3"/>
      <c r="I12" s="3"/>
      <c r="J12" s="3"/>
      <c r="K12" s="3"/>
      <c r="L12" s="3"/>
      <c r="M12" s="3"/>
      <c r="N12" s="3"/>
      <c r="O12" s="3"/>
      <c r="P12" s="3"/>
      <c r="Q12" s="3"/>
      <c r="R12" s="3"/>
      <c r="S12" s="3"/>
      <c r="T12" s="3"/>
      <c r="U12" s="3"/>
    </row>
    <row r="13" spans="1:21" x14ac:dyDescent="0.25">
      <c r="A13" s="3"/>
      <c r="B13" s="3"/>
      <c r="C13" s="3"/>
      <c r="D13" s="3"/>
      <c r="E13" s="3"/>
      <c r="F13" s="3"/>
      <c r="G13" s="3"/>
      <c r="H13" s="3"/>
      <c r="I13" s="3"/>
      <c r="J13" s="3"/>
      <c r="K13" s="3"/>
      <c r="L13" s="3"/>
      <c r="M13" s="3"/>
      <c r="N13" s="3"/>
      <c r="O13" s="3"/>
      <c r="P13" s="3"/>
      <c r="Q13" s="3"/>
      <c r="R13" s="3"/>
      <c r="S13" s="3"/>
      <c r="T13" s="3"/>
      <c r="U13" s="3"/>
    </row>
    <row r="14" spans="1:21" x14ac:dyDescent="0.25">
      <c r="A14" s="3"/>
      <c r="B14" s="3"/>
      <c r="C14" s="3"/>
      <c r="D14" s="3"/>
      <c r="E14" s="3"/>
      <c r="F14" s="3"/>
      <c r="G14" s="3"/>
      <c r="H14" s="3"/>
      <c r="I14" s="3"/>
      <c r="J14" s="3"/>
      <c r="K14" s="3"/>
      <c r="L14" s="3"/>
      <c r="M14" s="3"/>
      <c r="N14" s="3"/>
      <c r="O14" s="3"/>
      <c r="P14" s="3"/>
      <c r="Q14" s="3"/>
      <c r="R14" s="3"/>
      <c r="S14" s="3"/>
      <c r="T14" s="3"/>
      <c r="U14" s="3"/>
    </row>
    <row r="15" spans="1:21" x14ac:dyDescent="0.25">
      <c r="A15" s="3"/>
      <c r="B15" s="3"/>
      <c r="C15" s="3"/>
      <c r="D15" s="3"/>
      <c r="E15" s="3"/>
      <c r="F15" s="3"/>
      <c r="G15" s="3"/>
      <c r="H15" s="3"/>
      <c r="I15" s="3"/>
      <c r="J15" s="3"/>
      <c r="K15" s="3"/>
      <c r="L15" s="3"/>
      <c r="M15" s="3"/>
      <c r="N15" s="3"/>
      <c r="O15" s="3"/>
      <c r="P15" s="3"/>
      <c r="Q15" s="3"/>
      <c r="R15" s="3"/>
      <c r="S15" s="3"/>
      <c r="T15" s="3"/>
      <c r="U15" s="3"/>
    </row>
    <row r="16" spans="1:21" x14ac:dyDescent="0.25">
      <c r="A16" s="3"/>
      <c r="B16" s="3"/>
      <c r="C16" s="3"/>
      <c r="D16" s="3"/>
      <c r="E16" s="3"/>
      <c r="F16" s="3"/>
      <c r="G16" s="3"/>
      <c r="H16" s="3"/>
      <c r="I16" s="3"/>
      <c r="J16" s="3"/>
      <c r="K16" s="3"/>
      <c r="L16" s="3"/>
      <c r="M16" s="3"/>
      <c r="N16" s="3"/>
      <c r="O16" s="3"/>
      <c r="P16" s="3"/>
      <c r="Q16" s="3"/>
      <c r="R16" s="3"/>
      <c r="S16" s="3"/>
      <c r="T16" s="3"/>
      <c r="U16" s="3"/>
    </row>
    <row r="17" spans="1:21" x14ac:dyDescent="0.25">
      <c r="A17" s="3"/>
      <c r="B17" s="3"/>
      <c r="C17" s="3"/>
      <c r="D17" s="3"/>
      <c r="E17" s="3"/>
      <c r="F17" s="3"/>
      <c r="G17" s="3"/>
      <c r="H17" s="3"/>
      <c r="I17" s="3"/>
      <c r="J17" s="3"/>
      <c r="K17" s="3"/>
      <c r="L17" s="3"/>
      <c r="M17" s="3"/>
      <c r="N17" s="3"/>
      <c r="O17" s="3"/>
      <c r="P17" s="3"/>
      <c r="Q17" s="3"/>
      <c r="R17" s="3"/>
      <c r="S17" s="3"/>
      <c r="T17" s="3"/>
      <c r="U17" s="3"/>
    </row>
    <row r="18" spans="1:21" x14ac:dyDescent="0.25">
      <c r="A18" s="3"/>
      <c r="B18" s="3"/>
      <c r="C18" s="3"/>
      <c r="D18" s="3"/>
      <c r="E18" s="3"/>
      <c r="F18" s="3"/>
      <c r="G18" s="3"/>
      <c r="H18" s="3"/>
      <c r="I18" s="3"/>
      <c r="J18" s="3"/>
      <c r="K18" s="3"/>
      <c r="L18" s="3"/>
      <c r="M18" s="3"/>
      <c r="N18" s="3"/>
      <c r="O18" s="3"/>
      <c r="P18" s="3"/>
      <c r="Q18" s="3"/>
      <c r="R18" s="3"/>
      <c r="S18" s="3"/>
      <c r="T18" s="3"/>
      <c r="U18" s="3"/>
    </row>
    <row r="19" spans="1:21" x14ac:dyDescent="0.25">
      <c r="A19" s="3"/>
      <c r="B19" s="3"/>
      <c r="C19" s="3"/>
      <c r="D19" s="3"/>
      <c r="E19" s="3"/>
      <c r="F19" s="3"/>
      <c r="G19" s="3"/>
      <c r="H19" s="3"/>
      <c r="I19" s="3"/>
      <c r="J19" s="3"/>
      <c r="K19" s="3"/>
      <c r="L19" s="3"/>
      <c r="M19" s="3"/>
      <c r="N19" s="3"/>
      <c r="O19" s="3"/>
      <c r="P19" s="3"/>
      <c r="Q19" s="3"/>
      <c r="R19" s="3"/>
      <c r="S19" s="3"/>
      <c r="T19" s="3"/>
      <c r="U19" s="3"/>
    </row>
    <row r="20" spans="1:21" x14ac:dyDescent="0.25">
      <c r="A20" s="3"/>
      <c r="B20" s="3"/>
      <c r="C20" s="3"/>
      <c r="D20" s="3"/>
      <c r="E20" s="3"/>
      <c r="F20" s="3"/>
      <c r="G20" s="3"/>
      <c r="H20" s="3"/>
      <c r="I20" s="3"/>
      <c r="J20" s="3"/>
      <c r="K20" s="3"/>
      <c r="L20" s="3"/>
      <c r="M20" s="3"/>
      <c r="N20" s="3"/>
      <c r="O20" s="3"/>
      <c r="P20" s="3"/>
      <c r="Q20" s="3"/>
      <c r="R20" s="3"/>
      <c r="S20" s="3"/>
      <c r="T20" s="3"/>
      <c r="U20" s="3"/>
    </row>
    <row r="21" spans="1:21" x14ac:dyDescent="0.25">
      <c r="A21" s="3"/>
      <c r="B21" s="3"/>
      <c r="C21" s="3"/>
      <c r="D21" s="3"/>
      <c r="E21" s="3"/>
      <c r="F21" s="3"/>
      <c r="G21" s="3"/>
      <c r="H21" s="3"/>
      <c r="I21" s="3"/>
      <c r="J21" s="3"/>
      <c r="K21" s="3"/>
      <c r="L21" s="3"/>
      <c r="M21" s="3"/>
      <c r="N21" s="3"/>
      <c r="O21" s="3"/>
      <c r="P21" s="3"/>
      <c r="Q21" s="3"/>
      <c r="R21" s="3"/>
      <c r="S21" s="3"/>
      <c r="T21" s="3"/>
      <c r="U21" s="3"/>
    </row>
    <row r="22" spans="1:21" x14ac:dyDescent="0.25">
      <c r="A22" s="3"/>
      <c r="B22" s="3"/>
      <c r="C22" s="3"/>
      <c r="D22" s="3"/>
      <c r="E22" s="3"/>
      <c r="F22" s="3"/>
      <c r="G22" s="3"/>
      <c r="H22" s="3"/>
      <c r="I22" s="3"/>
      <c r="J22" s="3"/>
      <c r="K22" s="3"/>
      <c r="L22" s="3"/>
      <c r="M22" s="3"/>
      <c r="N22" s="3"/>
      <c r="O22" s="3"/>
      <c r="P22" s="3"/>
      <c r="Q22" s="3"/>
      <c r="R22" s="3"/>
      <c r="S22" s="3"/>
      <c r="T22" s="3"/>
      <c r="U22" s="3"/>
    </row>
    <row r="23" spans="1:21" x14ac:dyDescent="0.25">
      <c r="A23" s="3"/>
      <c r="B23" s="3"/>
      <c r="C23" s="3"/>
      <c r="D23" s="3"/>
      <c r="E23" s="3"/>
      <c r="F23" s="3"/>
      <c r="G23" s="3"/>
      <c r="H23" s="3"/>
      <c r="I23" s="3"/>
      <c r="J23" s="3"/>
      <c r="K23" s="3"/>
      <c r="L23" s="3"/>
      <c r="M23" s="3"/>
      <c r="N23" s="3"/>
      <c r="O23" s="3"/>
      <c r="P23" s="3"/>
      <c r="Q23" s="3"/>
      <c r="R23" s="3"/>
      <c r="S23" s="3"/>
      <c r="T23" s="3"/>
      <c r="U23" s="3"/>
    </row>
    <row r="28" spans="1:21" x14ac:dyDescent="0.25">
      <c r="D28" s="10" t="s">
        <v>1</v>
      </c>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9434D-3B28-4299-B5AC-D1A8000A0F74}">
  <dimension ref="A1"/>
  <sheetViews>
    <sheetView workbookViewId="0"/>
  </sheetViews>
  <sheetFormatPr defaultRowHeight="15"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B83F4B56-9BE6-4589-BCC3-65CDAD87AC64}">
  <ds:schemaRefs/>
</ds:datastoreItem>
</file>

<file path=customXml/itemProps2.xml><?xml version="1.0" encoding="utf-8"?>
<ds:datastoreItem xmlns:ds="http://schemas.openxmlformats.org/officeDocument/2006/customXml" ds:itemID="{ECD7DFC4-8C34-4058-82BB-DD98F8A5604E}">
  <ds:schemaRefs/>
</ds:datastoreItem>
</file>

<file path=customXml/itemProps3.xml><?xml version="1.0" encoding="utf-8"?>
<ds:datastoreItem xmlns:ds="http://schemas.openxmlformats.org/officeDocument/2006/customXml" ds:itemID="{F58F5FE0-D261-4D5A-8982-37D5EBB35FBB}">
  <ds:schemaRefs/>
</ds:datastoreItem>
</file>

<file path=customXml/itemProps4.xml><?xml version="1.0" encoding="utf-8"?>
<ds:datastoreItem xmlns:ds="http://schemas.openxmlformats.org/officeDocument/2006/customXml" ds:itemID="{61B751BE-4E5D-48C8-81FC-879A9CA06B2C}">
  <ds:schemaRefs/>
</ds:datastoreItem>
</file>

<file path=customXml/itemProps5.xml><?xml version="1.0" encoding="utf-8"?>
<ds:datastoreItem xmlns:ds="http://schemas.openxmlformats.org/officeDocument/2006/customXml" ds:itemID="{C44EE4C7-E689-4BC0-82B8-A471854A61F1}">
  <ds:schemaRefs/>
</ds:datastoreItem>
</file>

<file path=customXml/itemProps6.xml><?xml version="1.0" encoding="utf-8"?>
<ds:datastoreItem xmlns:ds="http://schemas.openxmlformats.org/officeDocument/2006/customXml" ds:itemID="{E35DEA29-1BFE-46BC-9382-5D59F05DD8AE}">
  <ds:schemaRefs/>
</ds:datastoreItem>
</file>

<file path=customXml/itemProps7.xml><?xml version="1.0" encoding="utf-8"?>
<ds:datastoreItem xmlns:ds="http://schemas.openxmlformats.org/officeDocument/2006/customXml" ds:itemID="{97E24C8A-47C2-4D16-B9FF-744A4068CB8C}">
  <ds:schemaRefs/>
</ds:datastoreItem>
</file>

<file path=customXml/itemProps8.xml><?xml version="1.0" encoding="utf-8"?>
<ds:datastoreItem xmlns:ds="http://schemas.openxmlformats.org/officeDocument/2006/customXml" ds:itemID="{23906803-ABD5-4ADC-ABEC-013081B82F1C}">
  <ds:schemaRefs/>
</ds:datastoreItem>
</file>

<file path=customXml/itemProps9.xml><?xml version="1.0" encoding="utf-8"?>
<ds:datastoreItem xmlns:ds="http://schemas.openxmlformats.org/officeDocument/2006/customXml" ds:itemID="{3512C840-6930-4884-90C8-A816945086D6}">
  <ds:schemaRefs/>
</ds:datastoreItem>
</file>

<file path=customXml/itemProps10.xml><?xml version="1.0" encoding="utf-8"?>
<ds:datastoreItem xmlns:ds="http://schemas.openxmlformats.org/officeDocument/2006/customXml" ds:itemID="{F46712C9-F83F-4DA3-ADC7-6E01056EBD24}">
  <ds:schemaRefs/>
</ds:datastoreItem>
</file>

<file path=customXml/itemProps11.xml><?xml version="1.0" encoding="utf-8"?>
<ds:datastoreItem xmlns:ds="http://schemas.openxmlformats.org/officeDocument/2006/customXml" ds:itemID="{0C079E6E-556D-46AC-B111-66EC97D2C8AB}">
  <ds:schemaRefs/>
</ds:datastoreItem>
</file>

<file path=customXml/itemProps12.xml><?xml version="1.0" encoding="utf-8"?>
<ds:datastoreItem xmlns:ds="http://schemas.openxmlformats.org/officeDocument/2006/customXml" ds:itemID="{5102472D-EC86-4DBD-B2F8-FC6CC88D7728}">
  <ds:schemaRefs/>
</ds:datastoreItem>
</file>

<file path=customXml/itemProps13.xml><?xml version="1.0" encoding="utf-8"?>
<ds:datastoreItem xmlns:ds="http://schemas.openxmlformats.org/officeDocument/2006/customXml" ds:itemID="{C06FEDA1-CFEA-4A7C-997C-0C077DF86247}">
  <ds:schemaRefs/>
</ds:datastoreItem>
</file>

<file path=customXml/itemProps14.xml><?xml version="1.0" encoding="utf-8"?>
<ds:datastoreItem xmlns:ds="http://schemas.openxmlformats.org/officeDocument/2006/customXml" ds:itemID="{03A51FC8-001D-4255-97FB-939EFCE1B6F5}">
  <ds:schemaRefs/>
</ds:datastoreItem>
</file>

<file path=customXml/itemProps15.xml><?xml version="1.0" encoding="utf-8"?>
<ds:datastoreItem xmlns:ds="http://schemas.openxmlformats.org/officeDocument/2006/customXml" ds:itemID="{8DF7DC41-69D9-4050-B967-2396F07D6997}">
  <ds:schemaRefs>
    <ds:schemaRef ds:uri="http://schemas.microsoft.com/DataMashup"/>
  </ds:schemaRefs>
</ds:datastoreItem>
</file>

<file path=customXml/itemProps16.xml><?xml version="1.0" encoding="utf-8"?>
<ds:datastoreItem xmlns:ds="http://schemas.openxmlformats.org/officeDocument/2006/customXml" ds:itemID="{CA5BB83F-DA91-4124-8CF4-508B301500EF}">
  <ds:schemaRefs/>
</ds:datastoreItem>
</file>

<file path=customXml/itemProps17.xml><?xml version="1.0" encoding="utf-8"?>
<ds:datastoreItem xmlns:ds="http://schemas.openxmlformats.org/officeDocument/2006/customXml" ds:itemID="{542650A1-5C16-4BB5-A85D-E48559A9689B}">
  <ds:schemaRefs/>
</ds:datastoreItem>
</file>

<file path=customXml/itemProps18.xml><?xml version="1.0" encoding="utf-8"?>
<ds:datastoreItem xmlns:ds="http://schemas.openxmlformats.org/officeDocument/2006/customXml" ds:itemID="{58ECCFF6-B450-49AD-AC1A-0C84AE32F3D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Average wait time daily trend</vt:lpstr>
      <vt:lpstr>Daily ER No of Patient</vt:lpstr>
      <vt:lpstr>hospital_emergency_dashboard</vt:lpstr>
      <vt:lpstr>satisfaction score daily trend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RISHU RAJ</dc:creator>
  <cp:lastModifiedBy>RISHU RAJ</cp:lastModifiedBy>
  <dcterms:created xsi:type="dcterms:W3CDTF">2026-06-20T09:45:37Z</dcterms:created>
  <dcterms:modified xsi:type="dcterms:W3CDTF">2026-09-12T10:56:09Z</dcterms:modified>
</cp:coreProperties>
</file>